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46104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46104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46104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46104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46104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46104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46104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46104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59227-2025</t>
        </is>
      </c>
      <c r="B10" s="1" t="n">
        <v>45988.62253472222</v>
      </c>
      <c r="C10" s="1" t="n">
        <v>46104</v>
      </c>
      <c r="D10" t="inlineStr">
        <is>
          <t>SKÅNE LÄN</t>
        </is>
      </c>
      <c r="E10" t="inlineStr">
        <is>
          <t>LUND</t>
        </is>
      </c>
      <c r="G10" t="n">
        <v>7.1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Scharlakansskål</t>
        </is>
      </c>
      <c r="S10">
        <f>HYPERLINK("https://klasma.github.io/Logging_1281/artfynd/A 59227-2025 artfynd.xlsx", "A 59227-2025")</f>
        <v/>
      </c>
      <c r="T10">
        <f>HYPERLINK("https://klasma.github.io/Logging_1281/kartor/A 59227-2025 karta.png", "A 59227-2025")</f>
        <v/>
      </c>
      <c r="V10">
        <f>HYPERLINK("https://klasma.github.io/Logging_1281/klagomål/A 59227-2025 FSC-klagomål.docx", "A 59227-2025")</f>
        <v/>
      </c>
      <c r="W10">
        <f>HYPERLINK("https://klasma.github.io/Logging_1281/klagomålsmail/A 59227-2025 FSC-klagomål mail.docx", "A 59227-2025")</f>
        <v/>
      </c>
      <c r="X10">
        <f>HYPERLINK("https://klasma.github.io/Logging_1281/tillsyn/A 59227-2025 tillsynsbegäran.docx", "A 59227-2025")</f>
        <v/>
      </c>
      <c r="Y10">
        <f>HYPERLINK("https://klasma.github.io/Logging_1281/tillsynsmail/A 59227-2025 tillsynsbegäran mail.docx", "A 59227-2025")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46104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11732-2024</t>
        </is>
      </c>
      <c r="B12" s="1" t="n">
        <v>45373.69222222222</v>
      </c>
      <c r="C12" s="1" t="n">
        <v>46104</v>
      </c>
      <c r="D12" t="inlineStr">
        <is>
          <t>SKÅNE LÄN</t>
        </is>
      </c>
      <c r="E12" t="inlineStr">
        <is>
          <t>LUND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HYPERLINK("https://klasma.github.io/Logging_1281/artfynd/A 11732-2024 artfynd.xlsx", "A 11732-2024")</f>
        <v/>
      </c>
      <c r="T12">
        <f>HYPERLINK("https://klasma.github.io/Logging_1281/kartor/A 11732-2024 karta.png", "A 11732-2024")</f>
        <v/>
      </c>
      <c r="V12">
        <f>HYPERLINK("https://klasma.github.io/Logging_1281/klagomål/A 11732-2024 FSC-klagomål.docx", "A 11732-2024")</f>
        <v/>
      </c>
      <c r="W12">
        <f>HYPERLINK("https://klasma.github.io/Logging_1281/klagomålsmail/A 11732-2024 FSC-klagomål mail.docx", "A 11732-2024")</f>
        <v/>
      </c>
      <c r="X12">
        <f>HYPERLINK("https://klasma.github.io/Logging_1281/tillsyn/A 11732-2024 tillsynsbegäran.docx", "A 11732-2024")</f>
        <v/>
      </c>
      <c r="Y12">
        <f>HYPERLINK("https://klasma.github.io/Logging_1281/tillsynsmail/A 11732-2024 tillsynsbegäran mail.docx", "A 11732-2024")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46104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46104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46104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4746-2025</t>
        </is>
      </c>
      <c r="B16" s="1" t="n">
        <v>45688.46011574074</v>
      </c>
      <c r="C16" s="1" t="n">
        <v>46104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46104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46104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46104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46104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46104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46104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46104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6034-2025</t>
        </is>
      </c>
      <c r="B24" s="1" t="n">
        <v>45695.64231481482</v>
      </c>
      <c r="C24" s="1" t="n">
        <v>46104</v>
      </c>
      <c r="D24" t="inlineStr">
        <is>
          <t>SKÅNE LÄN</t>
        </is>
      </c>
      <c r="E24" t="inlineStr">
        <is>
          <t>LUND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58335-2025</t>
        </is>
      </c>
      <c r="B25" s="1" t="n">
        <v>45985.48332175926</v>
      </c>
      <c r="C25" s="1" t="n">
        <v>46104</v>
      </c>
      <c r="D25" t="inlineStr">
        <is>
          <t>SKÅNE LÄN</t>
        </is>
      </c>
      <c r="E25" t="inlineStr">
        <is>
          <t>LUND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58488-2025</t>
        </is>
      </c>
      <c r="B26" s="1" t="n">
        <v>45985.66210648148</v>
      </c>
      <c r="C26" s="1" t="n">
        <v>46104</v>
      </c>
      <c r="D26" t="inlineStr">
        <is>
          <t>SKÅNE LÄN</t>
        </is>
      </c>
      <c r="E26" t="inlineStr">
        <is>
          <t>LUND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58337-2025</t>
        </is>
      </c>
      <c r="B27" s="1" t="n">
        <v>45985.48895833334</v>
      </c>
      <c r="C27" s="1" t="n">
        <v>46104</v>
      </c>
      <c r="D27" t="inlineStr">
        <is>
          <t>SKÅNE LÄN</t>
        </is>
      </c>
      <c r="E27" t="inlineStr">
        <is>
          <t>LUND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46104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59206-2025</t>
        </is>
      </c>
      <c r="B29" s="1" t="n">
        <v>45988.60881944445</v>
      </c>
      <c r="C29" s="1" t="n">
        <v>46104</v>
      </c>
      <c r="D29" t="inlineStr">
        <is>
          <t>SKÅNE LÄN</t>
        </is>
      </c>
      <c r="E29" t="inlineStr">
        <is>
          <t>LUND</t>
        </is>
      </c>
      <c r="G29" t="n">
        <v>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2248-2025</t>
        </is>
      </c>
      <c r="B30" s="1" t="n">
        <v>45673.49231481482</v>
      </c>
      <c r="C30" s="1" t="n">
        <v>46104</v>
      </c>
      <c r="D30" t="inlineStr">
        <is>
          <t>SKÅNE LÄN</t>
        </is>
      </c>
      <c r="E30" t="inlineStr">
        <is>
          <t>LUND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9889-2026</t>
        </is>
      </c>
      <c r="B31" s="1" t="n">
        <v>46073.368125</v>
      </c>
      <c r="C31" s="1" t="n">
        <v>46104</v>
      </c>
      <c r="D31" t="inlineStr">
        <is>
          <t>SKÅNE LÄN</t>
        </is>
      </c>
      <c r="E31" t="inlineStr">
        <is>
          <t>LUND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46104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32972-2024</t>
        </is>
      </c>
      <c r="B33" s="1" t="n">
        <v>45517.42064814815</v>
      </c>
      <c r="C33" s="1" t="n">
        <v>46104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20.7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29075-2023</t>
        </is>
      </c>
      <c r="B34" s="1" t="n">
        <v>45104</v>
      </c>
      <c r="C34" s="1" t="n">
        <v>46104</v>
      </c>
      <c r="D34" t="inlineStr">
        <is>
          <t>SKÅNE LÄN</t>
        </is>
      </c>
      <c r="E34" t="inlineStr">
        <is>
          <t>LUND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33985-2021</t>
        </is>
      </c>
      <c r="B35" s="1" t="n">
        <v>44378</v>
      </c>
      <c r="C35" s="1" t="n">
        <v>46104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45725-2022</t>
        </is>
      </c>
      <c r="B36" s="1" t="n">
        <v>44846</v>
      </c>
      <c r="C36" s="1" t="n">
        <v>46104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20057-2025</t>
        </is>
      </c>
      <c r="B37" s="1" t="n">
        <v>45772</v>
      </c>
      <c r="C37" s="1" t="n">
        <v>46104</v>
      </c>
      <c r="D37" t="inlineStr">
        <is>
          <t>SKÅNE LÄN</t>
        </is>
      </c>
      <c r="E37" t="inlineStr">
        <is>
          <t>LUND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46104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46104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29247-2025</t>
        </is>
      </c>
      <c r="B40" s="1" t="n">
        <v>45824</v>
      </c>
      <c r="C40" s="1" t="n">
        <v>46104</v>
      </c>
      <c r="D40" t="inlineStr">
        <is>
          <t>SKÅNE LÄN</t>
        </is>
      </c>
      <c r="E40" t="inlineStr">
        <is>
          <t>LUND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34484-2025</t>
        </is>
      </c>
      <c r="B41" s="1" t="n">
        <v>45847.39517361111</v>
      </c>
      <c r="C41" s="1" t="n">
        <v>46104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46104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46104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46104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46104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46104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46104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46104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46104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44646-2023</t>
        </is>
      </c>
      <c r="B50" s="1" t="n">
        <v>45189</v>
      </c>
      <c r="C50" s="1" t="n">
        <v>46104</v>
      </c>
      <c r="D50" t="inlineStr">
        <is>
          <t>SKÅNE LÄN</t>
        </is>
      </c>
      <c r="E50" t="inlineStr">
        <is>
          <t>LUND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2026-03-23T11:33:06Z</dcterms:created>
  <dcterms:modified xmlns:dcterms="http://purl.org/dc/terms/" xmlns:xsi="http://www.w3.org/2001/XMLSchema-instance" xsi:type="dcterms:W3CDTF">2026-03-23T11:33:06Z</dcterms:modified>
</cp:coreProperties>
</file>