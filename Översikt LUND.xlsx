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46084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46084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46084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46084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4746-2025</t>
        </is>
      </c>
      <c r="B10" s="1" t="n">
        <v>45688.46011574074</v>
      </c>
      <c r="C10" s="1" t="n">
        <v>46084</v>
      </c>
      <c r="D10" t="inlineStr">
        <is>
          <t>SKÅNE LÄN</t>
        </is>
      </c>
      <c r="E10" t="inlineStr">
        <is>
          <t>LUND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HYPERLINK("https://klasma.github.io/Logging_1281/artfynd/A 4746-2025 artfynd.xlsx", "A 4746-2025")</f>
        <v/>
      </c>
      <c r="T10">
        <f>HYPERLINK("https://klasma.github.io/Logging_1281/kartor/A 4746-2025 karta.png", "A 4746-2025")</f>
        <v/>
      </c>
      <c r="V10">
        <f>HYPERLINK("https://klasma.github.io/Logging_1281/klagomål/A 4746-2025 FSC-klagomål.docx", "A 4746-2025")</f>
        <v/>
      </c>
      <c r="W10">
        <f>HYPERLINK("https://klasma.github.io/Logging_1281/klagomålsmail/A 4746-2025 FSC-klagomål mail.docx", "A 4746-2025")</f>
        <v/>
      </c>
      <c r="X10">
        <f>HYPERLINK("https://klasma.github.io/Logging_1281/tillsyn/A 4746-2025 tillsynsbegäran.docx", "A 4746-2025")</f>
        <v/>
      </c>
      <c r="Y10">
        <f>HYPERLINK("https://klasma.github.io/Logging_1281/tillsynsmail/A 4746-2025 tillsynsbegäran mail.docx", "A 4746-2025")</f>
        <v/>
      </c>
      <c r="Z10">
        <f>HYPERLINK("https://klasma.github.io/Logging_1281/fåglar/A 4746-2025 prioriterade fågelarter.docx", "A 4746-2025")</f>
        <v/>
      </c>
    </row>
    <row r="11" ht="15" customHeight="1">
      <c r="A11" t="inlineStr">
        <is>
          <t>A 4816-2025</t>
        </is>
      </c>
      <c r="B11" s="1" t="n">
        <v>45688.62052083333</v>
      </c>
      <c r="C11" s="1" t="n">
        <v>46084</v>
      </c>
      <c r="D11" t="inlineStr">
        <is>
          <t>SKÅNE LÄN</t>
        </is>
      </c>
      <c r="E11" t="inlineStr">
        <is>
          <t>LUND</t>
        </is>
      </c>
      <c r="G11" t="n">
        <v>7.7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HYPERLINK("https://klasma.github.io/Logging_1281/artfynd/A 4816-2025 artfynd.xlsx", "A 4816-2025")</f>
        <v/>
      </c>
      <c r="T11">
        <f>HYPERLINK("https://klasma.github.io/Logging_1281/kartor/A 4816-2025 karta.png", "A 4816-2025")</f>
        <v/>
      </c>
      <c r="V11">
        <f>HYPERLINK("https://klasma.github.io/Logging_1281/klagomål/A 4816-2025 FSC-klagomål.docx", "A 4816-2025")</f>
        <v/>
      </c>
      <c r="W11">
        <f>HYPERLINK("https://klasma.github.io/Logging_1281/klagomålsmail/A 4816-2025 FSC-klagomål mail.docx", "A 4816-2025")</f>
        <v/>
      </c>
      <c r="X11">
        <f>HYPERLINK("https://klasma.github.io/Logging_1281/tillsyn/A 4816-2025 tillsynsbegäran.docx", "A 4816-2025")</f>
        <v/>
      </c>
      <c r="Y11">
        <f>HYPERLINK("https://klasma.github.io/Logging_1281/tillsynsmail/A 4816-2025 tillsynsbegäran mail.docx", "A 4816-2025")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46084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59227-2025</t>
        </is>
      </c>
      <c r="B13" s="1" t="n">
        <v>45988.62253472222</v>
      </c>
      <c r="C13" s="1" t="n">
        <v>46084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11732-2024</t>
        </is>
      </c>
      <c r="B14" s="1" t="n">
        <v>45373.69222222222</v>
      </c>
      <c r="C14" s="1" t="n">
        <v>46084</v>
      </c>
      <c r="D14" t="inlineStr">
        <is>
          <t>SKÅNE LÄN</t>
        </is>
      </c>
      <c r="E14" t="inlineStr">
        <is>
          <t>LUND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HYPERLINK("https://klasma.github.io/Logging_1281/artfynd/A 11732-2024 artfynd.xlsx", "A 11732-2024")</f>
        <v/>
      </c>
      <c r="T14">
        <f>HYPERLINK("https://klasma.github.io/Logging_1281/kartor/A 11732-2024 karta.png", "A 11732-2024")</f>
        <v/>
      </c>
      <c r="V14">
        <f>HYPERLINK("https://klasma.github.io/Logging_1281/klagomål/A 11732-2024 FSC-klagomål.docx", "A 11732-2024")</f>
        <v/>
      </c>
      <c r="W14">
        <f>HYPERLINK("https://klasma.github.io/Logging_1281/klagomålsmail/A 11732-2024 FSC-klagomål mail.docx", "A 11732-2024")</f>
        <v/>
      </c>
      <c r="X14">
        <f>HYPERLINK("https://klasma.github.io/Logging_1281/tillsyn/A 11732-2024 tillsynsbegäran.docx", "A 11732-2024")</f>
        <v/>
      </c>
      <c r="Y14">
        <f>HYPERLINK("https://klasma.github.io/Logging_1281/tillsynsmail/A 11732-2024 tillsynsbegäran mail.docx", "A 11732-2024")</f>
        <v/>
      </c>
    </row>
    <row r="15" ht="15" customHeight="1">
      <c r="A15" t="inlineStr">
        <is>
          <t>A 72269-2021</t>
        </is>
      </c>
      <c r="B15" s="1" t="n">
        <v>44543</v>
      </c>
      <c r="C15" s="1" t="n">
        <v>46084</v>
      </c>
      <c r="D15" t="inlineStr">
        <is>
          <t>SKÅNE LÄN</t>
        </is>
      </c>
      <c r="E15" t="inlineStr">
        <is>
          <t>LUND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häxört</t>
        </is>
      </c>
      <c r="S15">
        <f>HYPERLINK("https://klasma.github.io/Logging_1281/artfynd/A 72269-2021 artfynd.xlsx", "A 72269-2021")</f>
        <v/>
      </c>
      <c r="T15">
        <f>HYPERLINK("https://klasma.github.io/Logging_1281/kartor/A 72269-2021 karta.png", "A 72269-2021")</f>
        <v/>
      </c>
      <c r="V15">
        <f>HYPERLINK("https://klasma.github.io/Logging_1281/klagomål/A 72269-2021 FSC-klagomål.docx", "A 72269-2021")</f>
        <v/>
      </c>
      <c r="W15">
        <f>HYPERLINK("https://klasma.github.io/Logging_1281/klagomålsmail/A 72269-2021 FSC-klagomål mail.docx", "A 72269-2021")</f>
        <v/>
      </c>
      <c r="X15">
        <f>HYPERLINK("https://klasma.github.io/Logging_1281/tillsyn/A 72269-2021 tillsynsbegäran.docx", "A 72269-2021")</f>
        <v/>
      </c>
      <c r="Y15">
        <f>HYPERLINK("https://klasma.github.io/Logging_1281/tillsynsmail/A 72269-2021 tillsynsbegäran mail.docx", "A 72269-2021")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46084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46084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46084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46084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68005-2021</t>
        </is>
      </c>
      <c r="B21" s="1" t="n">
        <v>44525</v>
      </c>
      <c r="C21" s="1" t="n">
        <v>46084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46084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46084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46084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17519-2023</t>
        </is>
      </c>
      <c r="B25" s="1" t="n">
        <v>45036</v>
      </c>
      <c r="C25" s="1" t="n">
        <v>46084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46084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16499-2025</t>
        </is>
      </c>
      <c r="B27" s="1" t="n">
        <v>45751.60246527778</v>
      </c>
      <c r="C27" s="1" t="n">
        <v>46084</v>
      </c>
      <c r="D27" t="inlineStr">
        <is>
          <t>SKÅNE LÄN</t>
        </is>
      </c>
      <c r="E27" t="inlineStr">
        <is>
          <t>LUND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55158-2023</t>
        </is>
      </c>
      <c r="B28" s="1" t="n">
        <v>45237</v>
      </c>
      <c r="C28" s="1" t="n">
        <v>46084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46084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46084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46084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46084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5059-2025</t>
        </is>
      </c>
      <c r="B33" s="1" t="n">
        <v>45691.47211805556</v>
      </c>
      <c r="C33" s="1" t="n">
        <v>46084</v>
      </c>
      <c r="D33" t="inlineStr">
        <is>
          <t>SKÅNE LÄN</t>
        </is>
      </c>
      <c r="E33" t="inlineStr">
        <is>
          <t>LUND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46084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15984-2025</t>
        </is>
      </c>
      <c r="B35" s="1" t="n">
        <v>45749</v>
      </c>
      <c r="C35" s="1" t="n">
        <v>46084</v>
      </c>
      <c r="D35" t="inlineStr">
        <is>
          <t>SKÅNE LÄN</t>
        </is>
      </c>
      <c r="E35" t="inlineStr">
        <is>
          <t>LUND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29083-2023</t>
        </is>
      </c>
      <c r="B36" s="1" t="n">
        <v>45105</v>
      </c>
      <c r="C36" s="1" t="n">
        <v>46084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46084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46084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46084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49297-2023</t>
        </is>
      </c>
      <c r="B40" s="1" t="n">
        <v>45210</v>
      </c>
      <c r="C40" s="1" t="n">
        <v>46084</v>
      </c>
      <c r="D40" t="inlineStr">
        <is>
          <t>SKÅNE LÄN</t>
        </is>
      </c>
      <c r="E40" t="inlineStr">
        <is>
          <t>LUND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46084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9889-2026</t>
        </is>
      </c>
      <c r="B42" s="1" t="n">
        <v>46073.368125</v>
      </c>
      <c r="C42" s="1" t="n">
        <v>46084</v>
      </c>
      <c r="D42" t="inlineStr">
        <is>
          <t>SKÅNE LÄN</t>
        </is>
      </c>
      <c r="E42" t="inlineStr">
        <is>
          <t>LUND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46084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28885-2022</t>
        </is>
      </c>
      <c r="B44" s="1" t="n">
        <v>44749</v>
      </c>
      <c r="C44" s="1" t="n">
        <v>46084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32972-2024</t>
        </is>
      </c>
      <c r="B45" s="1" t="n">
        <v>45517.42064814815</v>
      </c>
      <c r="C45" s="1" t="n">
        <v>46084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20.7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29075-2023</t>
        </is>
      </c>
      <c r="B46" s="1" t="n">
        <v>45104</v>
      </c>
      <c r="C46" s="1" t="n">
        <v>46084</v>
      </c>
      <c r="D46" t="inlineStr">
        <is>
          <t>SKÅNE LÄN</t>
        </is>
      </c>
      <c r="E46" t="inlineStr">
        <is>
          <t>LUND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33985-2021</t>
        </is>
      </c>
      <c r="B47" s="1" t="n">
        <v>44378</v>
      </c>
      <c r="C47" s="1" t="n">
        <v>46084</v>
      </c>
      <c r="D47" t="inlineStr">
        <is>
          <t>SKÅNE LÄN</t>
        </is>
      </c>
      <c r="E47" t="inlineStr">
        <is>
          <t>LUND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45725-2022</t>
        </is>
      </c>
      <c r="B48" s="1" t="n">
        <v>44846</v>
      </c>
      <c r="C48" s="1" t="n">
        <v>46084</v>
      </c>
      <c r="D48" t="inlineStr">
        <is>
          <t>SKÅNE LÄN</t>
        </is>
      </c>
      <c r="E48" t="inlineStr">
        <is>
          <t>LUND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21767-2023</t>
        </is>
      </c>
      <c r="B49" s="1" t="n">
        <v>45065</v>
      </c>
      <c r="C49" s="1" t="n">
        <v>46084</v>
      </c>
      <c r="D49" t="inlineStr">
        <is>
          <t>SKÅNE LÄN</t>
        </is>
      </c>
      <c r="E49" t="inlineStr">
        <is>
          <t>LUND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8601-2023</t>
        </is>
      </c>
      <c r="B50" s="1" t="n">
        <v>44977</v>
      </c>
      <c r="C50" s="1" t="n">
        <v>46084</v>
      </c>
      <c r="D50" t="inlineStr">
        <is>
          <t>SKÅNE LÄN</t>
        </is>
      </c>
      <c r="E50" t="inlineStr">
        <is>
          <t>LUND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2026-03-03T11:12:34Z</dcterms:created>
  <dcterms:modified xmlns:dcterms="http://purl.org/dc/terms/" xmlns:xsi="http://www.w3.org/2001/XMLSchema-instance" xsi:type="dcterms:W3CDTF">2026-03-03T11:12:34Z</dcterms:modified>
</cp:coreProperties>
</file>