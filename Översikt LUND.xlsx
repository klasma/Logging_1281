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46248</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46248</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31764-2023</t>
        </is>
      </c>
      <c r="B4" t="inlineStr">
        <is>
          <t>avverkningsanmälan</t>
        </is>
      </c>
      <c r="C4" t="inlineStr">
        <is>
          <t>Föryngringsavverkning</t>
        </is>
      </c>
      <c r="D4" s="1" t="n">
        <v>45118</v>
      </c>
      <c r="E4" s="1" t="n">
        <v>46248</v>
      </c>
      <c r="F4" t="inlineStr">
        <is>
          <t>SKÅNE LÄN</t>
        </is>
      </c>
      <c r="G4" t="inlineStr">
        <is>
          <t>LUND</t>
        </is>
      </c>
      <c r="H4" t="inlineStr">
        <is>
          <t>Kommuner</t>
        </is>
      </c>
      <c r="I4" t="n">
        <v>1.2</v>
      </c>
      <c r="J4" t="n">
        <v>1</v>
      </c>
      <c r="K4" t="n">
        <v>0</v>
      </c>
      <c r="L4" t="n">
        <v>2</v>
      </c>
      <c r="M4" t="n">
        <v>0</v>
      </c>
      <c r="N4" t="n">
        <v>0</v>
      </c>
      <c r="O4" t="n">
        <v>0</v>
      </c>
      <c r="P4" t="n">
        <v>0</v>
      </c>
      <c r="Q4" t="n">
        <v>3</v>
      </c>
      <c r="R4" t="n">
        <v>0</v>
      </c>
      <c r="S4" t="n">
        <v>4</v>
      </c>
      <c r="T4" t="n">
        <v>4</v>
      </c>
      <c r="U4" t="n">
        <v>1</v>
      </c>
      <c r="V4" s="2" t="inlineStr">
        <is>
          <t>Rosenporing
Sydlig sotticka
Skorpdyna
Vanlig snok</t>
        </is>
      </c>
      <c r="W4">
        <f>HYPERLINK("https://klasma.github.io/Logging_1281/artfynd/A 31764-2023 artfynd.xlsx", "A 31764-2023")</f>
        <v/>
      </c>
      <c r="X4">
        <f>HYPERLINK("https://klasma.github.io/Logging_1281/kartor/A 31764-2023 karta.png", "A 31764-2023")</f>
        <v/>
      </c>
      <c r="Y4">
        <f>HYPERLINK("https://klasma.github.io/Logging_1281/kartor_geotiff/A 31764-2023 georefererad karta.tif", "A 31764-2023")</f>
        <v/>
      </c>
      <c r="AA4">
        <f>HYPERLINK("https://klasma.github.io/Logging_1281/klagomål/A 31764-2023 FSC-klagomål.docx", "A 31764-2023")</f>
        <v/>
      </c>
      <c r="AB4">
        <f>HYPERLINK("https://klasma.github.io/Logging_1281/klagomålsmail/A 31764-2023 FSC-klagomål mail.docx", "A 31764-2023")</f>
        <v/>
      </c>
      <c r="AC4">
        <f>HYPERLINK("https://klasma.github.io/Logging_1281/tillsyn/A 31764-2023 tillsynsbegäran.docx", "A 31764-2023")</f>
        <v/>
      </c>
      <c r="AD4">
        <f>HYPERLINK("https://klasma.github.io/Logging_1281/tillsynsmail/A 31764-2023 tillsynsbegäran mail.docx", "A 31764-2023")</f>
        <v/>
      </c>
    </row>
    <row r="5" ht="15" customHeight="1">
      <c r="A5" t="inlineStr">
        <is>
          <t>A 59733-2023</t>
        </is>
      </c>
      <c r="B5" t="inlineStr">
        <is>
          <t>avverkningsanmälan</t>
        </is>
      </c>
      <c r="C5" t="inlineStr">
        <is>
          <t>Föryngringsavverkning</t>
        </is>
      </c>
      <c r="D5" s="1" t="n">
        <v>45257</v>
      </c>
      <c r="E5" s="1" t="n">
        <v>46248</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46248</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46248</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46248</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46248</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46248</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46248</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46248</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46248</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46248</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29075-2023</t>
        </is>
      </c>
      <c r="B15" t="inlineStr">
        <is>
          <t>avverkningsanmälan</t>
        </is>
      </c>
      <c r="C15" t="inlineStr">
        <is>
          <t>Föryngringsavverkning</t>
        </is>
      </c>
      <c r="D15" s="1" t="n">
        <v>45104</v>
      </c>
      <c r="E15" s="1" t="n">
        <v>46248</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11732-2024</t>
        </is>
      </c>
      <c r="B16" t="inlineStr">
        <is>
          <t>avverkningsanmälan</t>
        </is>
      </c>
      <c r="C16" t="inlineStr">
        <is>
          <t>Föryngringsavverkning</t>
        </is>
      </c>
      <c r="D16" s="1" t="n">
        <v>45373</v>
      </c>
      <c r="E16" s="1" t="n">
        <v>46248</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55145-2023</t>
        </is>
      </c>
      <c r="B17" t="inlineStr">
        <is>
          <t>avverkningsanmälan</t>
        </is>
      </c>
      <c r="C17" t="inlineStr">
        <is>
          <t>Avverkning för att bevara och utveckla /försöksver</t>
        </is>
      </c>
      <c r="D17" s="1" t="n">
        <v>45237</v>
      </c>
      <c r="E17" s="1" t="n">
        <v>46248</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39260-2025</t>
        </is>
      </c>
      <c r="B18" t="inlineStr">
        <is>
          <t>avverkningsanmälan</t>
        </is>
      </c>
      <c r="C18" t="inlineStr">
        <is>
          <t>Föryngringsavverkning</t>
        </is>
      </c>
      <c r="D18" s="1" t="n">
        <v>45889</v>
      </c>
      <c r="E18" s="1" t="n">
        <v>46248</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4746-2025</t>
        </is>
      </c>
      <c r="B19" t="inlineStr">
        <is>
          <t>avverkningsanmälan</t>
        </is>
      </c>
      <c r="C19" t="inlineStr">
        <is>
          <t>Föryngringsavverkning</t>
        </is>
      </c>
      <c r="D19" s="1" t="n">
        <v>45688</v>
      </c>
      <c r="E19" s="1" t="n">
        <v>46248</v>
      </c>
      <c r="F19" t="inlineStr">
        <is>
          <t>SKÅNE LÄN</t>
        </is>
      </c>
      <c r="G19" t="inlineStr">
        <is>
          <t>LUND</t>
        </is>
      </c>
      <c r="I19" t="n">
        <v>1.1</v>
      </c>
      <c r="J19" t="n">
        <v>1</v>
      </c>
      <c r="K19" t="n">
        <v>0</v>
      </c>
      <c r="L19" t="n">
        <v>0</v>
      </c>
      <c r="M19" t="n">
        <v>0</v>
      </c>
      <c r="N19" t="n">
        <v>0</v>
      </c>
      <c r="O19" t="n">
        <v>0</v>
      </c>
      <c r="P19" t="n">
        <v>0</v>
      </c>
      <c r="Q19" t="n">
        <v>0</v>
      </c>
      <c r="R19" t="n">
        <v>0</v>
      </c>
      <c r="S19" t="n">
        <v>1</v>
      </c>
      <c r="T19" t="n">
        <v>1</v>
      </c>
      <c r="U19" t="n">
        <v>0</v>
      </c>
      <c r="V19" s="2" t="inlineStr">
        <is>
          <t>Svartvit flugsnappare</t>
        </is>
      </c>
      <c r="W19">
        <f>HYPERLINK("https://klasma.github.io/Logging_1281/artfynd/A 4746-2025 artfynd.xlsx", "A 4746-2025")</f>
        <v/>
      </c>
      <c r="X19">
        <f>HYPERLINK("https://klasma.github.io/Logging_1281/kartor/A 4746-2025 karta.png", "A 4746-2025")</f>
        <v/>
      </c>
      <c r="Y19">
        <f>HYPERLINK("https://klasma.github.io/Logging_1281/kartor_geotiff/A 4746-2025 georefererad karta.tif", "A 4746-2025")</f>
        <v/>
      </c>
      <c r="AA19">
        <f>HYPERLINK("https://klasma.github.io/Logging_1281/klagomål/A 4746-2025 FSC-klagomål.docx", "A 4746-2025")</f>
        <v/>
      </c>
      <c r="AB19">
        <f>HYPERLINK("https://klasma.github.io/Logging_1281/klagomålsmail/A 4746-2025 FSC-klagomål mail.docx", "A 4746-2025")</f>
        <v/>
      </c>
      <c r="AC19">
        <f>HYPERLINK("https://klasma.github.io/Logging_1281/tillsyn/A 4746-2025 tillsynsbegäran.docx", "A 4746-2025")</f>
        <v/>
      </c>
      <c r="AD19">
        <f>HYPERLINK("https://klasma.github.io/Logging_1281/tillsynsmail/A 4746-2025 tillsynsbegäran mail.docx", "A 4746-2025")</f>
        <v/>
      </c>
    </row>
    <row r="20" ht="15" customHeight="1">
      <c r="A20" t="inlineStr">
        <is>
          <t>A 27377-2026</t>
        </is>
      </c>
      <c r="B20" t="inlineStr">
        <is>
          <t>avverkningsanmälan</t>
        </is>
      </c>
      <c r="C20" t="inlineStr">
        <is>
          <t>Föryngringsavverkning</t>
        </is>
      </c>
      <c r="D20" s="1" t="n">
        <v>46189</v>
      </c>
      <c r="E20" s="1" t="n">
        <v>46248</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59227-2025</t>
        </is>
      </c>
      <c r="B21" t="inlineStr">
        <is>
          <t>avverkningsanmälan</t>
        </is>
      </c>
      <c r="C21" t="inlineStr">
        <is>
          <t>Föryngringsavverkning</t>
        </is>
      </c>
      <c r="D21" s="1" t="n">
        <v>45988</v>
      </c>
      <c r="E21" s="1" t="n">
        <v>46248</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46248</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46248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17519-2023</t>
        </is>
      </c>
      <c r="B24" t="inlineStr">
        <is>
          <t>avverkningsanmälan</t>
        </is>
      </c>
      <c r="C24" t="inlineStr">
        <is>
          <t>Avverkning för annat ändamål</t>
        </is>
      </c>
      <c r="D24" s="1" t="n">
        <v>45036</v>
      </c>
      <c r="E24" s="1" t="n">
        <v>46248</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16499-2025</t>
        </is>
      </c>
      <c r="B25" t="inlineStr">
        <is>
          <t>avverkningsanmälan</t>
        </is>
      </c>
      <c r="C25" t="inlineStr">
        <is>
          <t>Föryngringsavverkning</t>
        </is>
      </c>
      <c r="D25" s="1" t="n">
        <v>45751</v>
      </c>
      <c r="E25" s="1" t="n">
        <v>46248</v>
      </c>
      <c r="F25" t="inlineStr">
        <is>
          <t>SKÅNE LÄN</t>
        </is>
      </c>
      <c r="G25" t="inlineStr">
        <is>
          <t>LUND</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46248</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46248</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46248</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46248</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13754-2022</t>
        </is>
      </c>
      <c r="B30" t="inlineStr">
        <is>
          <t>avverkningsanmälan</t>
        </is>
      </c>
      <c r="C30" t="inlineStr">
        <is>
          <t>Föryngringsavverkning</t>
        </is>
      </c>
      <c r="D30" s="1" t="n">
        <v>44649</v>
      </c>
      <c r="E30" s="1" t="n">
        <v>46248</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31773-2023</t>
        </is>
      </c>
      <c r="B31" t="inlineStr">
        <is>
          <t>avverkningsanmälan</t>
        </is>
      </c>
      <c r="C31" t="inlineStr">
        <is>
          <t>Föryngringsavverkning</t>
        </is>
      </c>
      <c r="D31" s="1" t="n">
        <v>45118</v>
      </c>
      <c r="E31" s="1" t="n">
        <v>46248</v>
      </c>
      <c r="F31" t="inlineStr">
        <is>
          <t>SKÅNE LÄN</t>
        </is>
      </c>
      <c r="G31" t="inlineStr">
        <is>
          <t>LUND</t>
        </is>
      </c>
      <c r="H31" t="inlineStr">
        <is>
          <t>Kommuner</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28885-2022</t>
        </is>
      </c>
      <c r="B32" t="inlineStr">
        <is>
          <t>avverkningsanmälan</t>
        </is>
      </c>
      <c r="C32" t="inlineStr">
        <is>
          <t>Föryngringsavverkning</t>
        </is>
      </c>
      <c r="D32" s="1" t="n">
        <v>44749</v>
      </c>
      <c r="E32" s="1" t="n">
        <v>46248</v>
      </c>
      <c r="F32" t="inlineStr">
        <is>
          <t>SKÅNE LÄN</t>
        </is>
      </c>
      <c r="G32" t="inlineStr">
        <is>
          <t>LUND</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32972-2024</t>
        </is>
      </c>
      <c r="B33" t="inlineStr">
        <is>
          <t>avverkningsanmälan</t>
        </is>
      </c>
      <c r="C33" t="inlineStr">
        <is>
          <t>Föryngringsavverkning</t>
        </is>
      </c>
      <c r="D33" s="1" t="n">
        <v>45517</v>
      </c>
      <c r="E33" s="1" t="n">
        <v>46248</v>
      </c>
      <c r="F33" t="inlineStr">
        <is>
          <t>SKÅNE LÄN</t>
        </is>
      </c>
      <c r="G33" t="inlineStr">
        <is>
          <t>LUND</t>
        </is>
      </c>
      <c r="H33" t="inlineStr">
        <is>
          <t>Kommuner</t>
        </is>
      </c>
      <c r="I33" t="n">
        <v>20.7</v>
      </c>
      <c r="J33" t="n">
        <v>0</v>
      </c>
      <c r="K33" t="n">
        <v>0</v>
      </c>
      <c r="L33" t="n">
        <v>0</v>
      </c>
      <c r="M33" t="n">
        <v>0</v>
      </c>
      <c r="N33" t="n">
        <v>0</v>
      </c>
      <c r="O33" t="n">
        <v>0</v>
      </c>
      <c r="P33" t="n">
        <v>0</v>
      </c>
      <c r="Q33" t="n">
        <v>0</v>
      </c>
      <c r="R33" t="n">
        <v>0</v>
      </c>
      <c r="S33" t="n">
        <v>0</v>
      </c>
      <c r="T33" t="n">
        <v>0</v>
      </c>
      <c r="U33" t="n">
        <v>0</v>
      </c>
      <c r="V33" s="2" t="inlineStr"/>
    </row>
    <row r="34" ht="15" customHeight="1">
      <c r="A34" t="inlineStr">
        <is>
          <t>A 29083-2023</t>
        </is>
      </c>
      <c r="B34" t="inlineStr">
        <is>
          <t>avverkningsanmälan</t>
        </is>
      </c>
      <c r="C34" t="inlineStr">
        <is>
          <t>Föryngringsavverkning</t>
        </is>
      </c>
      <c r="D34" s="1" t="n">
        <v>45105</v>
      </c>
      <c r="E34" s="1" t="n">
        <v>46248</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49297-2023</t>
        </is>
      </c>
      <c r="B35" t="inlineStr">
        <is>
          <t>avverkningsanmälan</t>
        </is>
      </c>
      <c r="C35" t="inlineStr">
        <is>
          <t>Föryngringsavverkning</t>
        </is>
      </c>
      <c r="D35" s="1" t="n">
        <v>45210</v>
      </c>
      <c r="E35" s="1" t="n">
        <v>46248</v>
      </c>
      <c r="F35" t="inlineStr">
        <is>
          <t>SKÅNE LÄN</t>
        </is>
      </c>
      <c r="G35" t="inlineStr">
        <is>
          <t>LUND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46248</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20277-2026</t>
        </is>
      </c>
      <c r="B37" t="inlineStr">
        <is>
          <t>avverkningsanmälan</t>
        </is>
      </c>
      <c r="C37" t="inlineStr">
        <is>
          <t>Föryngringsavverkning</t>
        </is>
      </c>
      <c r="D37" s="1" t="n">
        <v>46139</v>
      </c>
      <c r="E37" s="1" t="n">
        <v>46248</v>
      </c>
      <c r="F37" t="inlineStr">
        <is>
          <t>SKÅNE LÄN</t>
        </is>
      </c>
      <c r="G37" t="inlineStr">
        <is>
          <t>LUND</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46248</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58335-2025</t>
        </is>
      </c>
      <c r="B39" t="inlineStr">
        <is>
          <t>avverkningsanmälan</t>
        </is>
      </c>
      <c r="C39" t="inlineStr">
        <is>
          <t>Föryngringsavverkning</t>
        </is>
      </c>
      <c r="D39" s="1" t="n">
        <v>45985</v>
      </c>
      <c r="E39" s="1" t="n">
        <v>46248</v>
      </c>
      <c r="F39" t="inlineStr">
        <is>
          <t>SKÅNE LÄN</t>
        </is>
      </c>
      <c r="G39" t="inlineStr">
        <is>
          <t>LUND</t>
        </is>
      </c>
      <c r="I39" t="n">
        <v>2.5</v>
      </c>
      <c r="J39" t="n">
        <v>0</v>
      </c>
      <c r="K39" t="n">
        <v>0</v>
      </c>
      <c r="L39" t="n">
        <v>0</v>
      </c>
      <c r="M39" t="n">
        <v>0</v>
      </c>
      <c r="N39" t="n">
        <v>0</v>
      </c>
      <c r="O39" t="n">
        <v>0</v>
      </c>
      <c r="P39" t="n">
        <v>0</v>
      </c>
      <c r="Q39" t="n">
        <v>0</v>
      </c>
      <c r="R39" t="n">
        <v>0</v>
      </c>
      <c r="S39" t="n">
        <v>0</v>
      </c>
      <c r="T39" t="n">
        <v>0</v>
      </c>
      <c r="U39" t="n">
        <v>0</v>
      </c>
      <c r="V39" s="2" t="inlineStr"/>
    </row>
    <row r="40" ht="15" customHeight="1">
      <c r="A40" t="inlineStr">
        <is>
          <t>A 58337-2025</t>
        </is>
      </c>
      <c r="B40" t="inlineStr">
        <is>
          <t>avverkningsanmälan</t>
        </is>
      </c>
      <c r="C40" t="inlineStr">
        <is>
          <t>Föryngringsavverkning</t>
        </is>
      </c>
      <c r="D40" s="1" t="n">
        <v>45985</v>
      </c>
      <c r="E40" s="1" t="n">
        <v>46248</v>
      </c>
      <c r="F40" t="inlineStr">
        <is>
          <t>SKÅNE LÄN</t>
        </is>
      </c>
      <c r="G40" t="inlineStr">
        <is>
          <t>LUND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46248</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9889-2026</t>
        </is>
      </c>
      <c r="B42" t="inlineStr">
        <is>
          <t>avverkningsanmälan</t>
        </is>
      </c>
      <c r="C42" t="inlineStr">
        <is>
          <t>Föryngringsavverkning</t>
        </is>
      </c>
      <c r="D42" s="1" t="n">
        <v>46073</v>
      </c>
      <c r="E42" s="1" t="n">
        <v>46248</v>
      </c>
      <c r="F42" t="inlineStr">
        <is>
          <t>SKÅNE LÄN</t>
        </is>
      </c>
      <c r="G42" t="inlineStr">
        <is>
          <t>LUND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46248</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46248</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2026-08-14T01:55:46Z</dcterms:created>
  <dcterms:modified xmlns:dcterms="http://purl.org/dc/terms/" xmlns:xsi="http://www.w3.org/2001/XMLSchema-instance" xsi:type="dcterms:W3CDTF">2026-08-14T01:55:46Z</dcterms:modified>
</cp:coreProperties>
</file>