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45933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45933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45933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4746-2025</t>
        </is>
      </c>
      <c r="B9" s="1" t="n">
        <v>45688.46011574074</v>
      </c>
      <c r="C9" s="1" t="n">
        <v>45933</v>
      </c>
      <c r="D9" t="inlineStr">
        <is>
          <t>SKÅNE LÄN</t>
        </is>
      </c>
      <c r="E9" t="inlineStr">
        <is>
          <t>LUND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HYPERLINK("https://klasma.github.io/Logging_1281/artfynd/A 4746-2025 artfynd.xlsx", "A 4746-2025")</f>
        <v/>
      </c>
      <c r="T9">
        <f>HYPERLINK("https://klasma.github.io/Logging_1281/kartor/A 4746-2025 karta.png", "A 4746-2025")</f>
        <v/>
      </c>
      <c r="V9">
        <f>HYPERLINK("https://klasma.github.io/Logging_1281/klagomål/A 4746-2025 FSC-klagomål.docx", "A 4746-2025")</f>
        <v/>
      </c>
      <c r="W9">
        <f>HYPERLINK("https://klasma.github.io/Logging_1281/klagomålsmail/A 4746-2025 FSC-klagomål mail.docx", "A 4746-2025")</f>
        <v/>
      </c>
      <c r="X9">
        <f>HYPERLINK("https://klasma.github.io/Logging_1281/tillsyn/A 4746-2025 tillsynsbegäran.docx", "A 4746-2025")</f>
        <v/>
      </c>
      <c r="Y9">
        <f>HYPERLINK("https://klasma.github.io/Logging_1281/tillsynsmail/A 4746-2025 tillsynsbegäran mail.docx", "A 4746-2025")</f>
        <v/>
      </c>
      <c r="Z9">
        <f>HYPERLINK("https://klasma.github.io/Logging_1281/fåglar/A 4746-2025 prioriterade fågelarter.docx", "A 4746-2025")</f>
        <v/>
      </c>
    </row>
    <row r="10" ht="15" customHeight="1">
      <c r="A10" t="inlineStr">
        <is>
          <t>A 4816-2025</t>
        </is>
      </c>
      <c r="B10" s="1" t="n">
        <v>45688.62052083333</v>
      </c>
      <c r="C10" s="1" t="n">
        <v>45933</v>
      </c>
      <c r="D10" t="inlineStr">
        <is>
          <t>SKÅNE LÄN</t>
        </is>
      </c>
      <c r="E10" t="inlineStr">
        <is>
          <t>LUND</t>
        </is>
      </c>
      <c r="G10" t="n">
        <v>7.7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HYPERLINK("https://klasma.github.io/Logging_1281/artfynd/A 4816-2025 artfynd.xlsx", "A 4816-2025")</f>
        <v/>
      </c>
      <c r="T10">
        <f>HYPERLINK("https://klasma.github.io/Logging_1281/kartor/A 4816-2025 karta.png", "A 4816-2025")</f>
        <v/>
      </c>
      <c r="V10">
        <f>HYPERLINK("https://klasma.github.io/Logging_1281/klagomål/A 4816-2025 FSC-klagomål.docx", "A 4816-2025")</f>
        <v/>
      </c>
      <c r="W10">
        <f>HYPERLINK("https://klasma.github.io/Logging_1281/klagomålsmail/A 4816-2025 FSC-klagomål mail.docx", "A 4816-2025")</f>
        <v/>
      </c>
      <c r="X10">
        <f>HYPERLINK("https://klasma.github.io/Logging_1281/tillsyn/A 4816-2025 tillsynsbegäran.docx", "A 4816-2025")</f>
        <v/>
      </c>
      <c r="Y10">
        <f>HYPERLINK("https://klasma.github.io/Logging_1281/tillsynsmail/A 4816-2025 tillsynsbegäran mail.docx", "A 4816-2025")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45933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45933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45933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45933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45933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45933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45933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20057-2025</t>
        </is>
      </c>
      <c r="B20" s="1" t="n">
        <v>45772</v>
      </c>
      <c r="C20" s="1" t="n">
        <v>45933</v>
      </c>
      <c r="D20" t="inlineStr">
        <is>
          <t>SKÅNE LÄN</t>
        </is>
      </c>
      <c r="E20" t="inlineStr">
        <is>
          <t>LUND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45933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13754-2022</t>
        </is>
      </c>
      <c r="B22" s="1" t="n">
        <v>44649</v>
      </c>
      <c r="C22" s="1" t="n">
        <v>45933</v>
      </c>
      <c r="D22" t="inlineStr">
        <is>
          <t>SKÅNE LÄN</t>
        </is>
      </c>
      <c r="E22" t="inlineStr">
        <is>
          <t>LUND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45725-2022</t>
        </is>
      </c>
      <c r="B23" s="1" t="n">
        <v>44846</v>
      </c>
      <c r="C23" s="1" t="n">
        <v>45933</v>
      </c>
      <c r="D23" t="inlineStr">
        <is>
          <t>SKÅNE LÄN</t>
        </is>
      </c>
      <c r="E23" t="inlineStr">
        <is>
          <t>LUND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29247-2025</t>
        </is>
      </c>
      <c r="B24" s="1" t="n">
        <v>45824</v>
      </c>
      <c r="C24" s="1" t="n">
        <v>45933</v>
      </c>
      <c r="D24" t="inlineStr">
        <is>
          <t>SKÅNE LÄN</t>
        </is>
      </c>
      <c r="E24" t="inlineStr">
        <is>
          <t>LUND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45933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45933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45933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45933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45933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45933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45933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16499-2025</t>
        </is>
      </c>
      <c r="B32" s="1" t="n">
        <v>45751.60246527778</v>
      </c>
      <c r="C32" s="1" t="n">
        <v>45933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59733-2023</t>
        </is>
      </c>
      <c r="B33" s="1" t="n">
        <v>45257</v>
      </c>
      <c r="C33" s="1" t="n">
        <v>45933</v>
      </c>
      <c r="D33" t="inlineStr">
        <is>
          <t>SKÅNE LÄN</t>
        </is>
      </c>
      <c r="E33" t="inlineStr">
        <is>
          <t>LUND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55158-2023</t>
        </is>
      </c>
      <c r="B34" s="1" t="n">
        <v>45237</v>
      </c>
      <c r="C34" s="1" t="n">
        <v>45933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45740.40390046296</v>
      </c>
      <c r="C35" s="1" t="n">
        <v>45933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6034-2025</t>
        </is>
      </c>
      <c r="B36" s="1" t="n">
        <v>45695.64231481482</v>
      </c>
      <c r="C36" s="1" t="n">
        <v>45933</v>
      </c>
      <c r="D36" t="inlineStr">
        <is>
          <t>SKÅNE LÄN</t>
        </is>
      </c>
      <c r="E36" t="inlineStr">
        <is>
          <t>LUND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45933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45933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45933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45933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45933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45933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2248-2025</t>
        </is>
      </c>
      <c r="B43" s="1" t="n">
        <v>45673.49231481482</v>
      </c>
      <c r="C43" s="1" t="n">
        <v>45933</v>
      </c>
      <c r="D43" t="inlineStr">
        <is>
          <t>SKÅNE LÄN</t>
        </is>
      </c>
      <c r="E43" t="inlineStr">
        <is>
          <t>LUND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17519-2023</t>
        </is>
      </c>
      <c r="B44" s="1" t="n">
        <v>45036</v>
      </c>
      <c r="C44" s="1" t="n">
        <v>45933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