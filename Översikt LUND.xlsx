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9899-2021</t>
        </is>
      </c>
      <c r="B2" t="inlineStr">
        <is>
          <t>samrådsanmälan</t>
        </is>
      </c>
      <c r="C2" t="inlineStr">
        <is>
          <t>Askåterföring</t>
        </is>
      </c>
      <c r="D2" s="1" t="n">
        <v>44533</v>
      </c>
      <c r="E2" s="1" t="n">
        <v>46322</v>
      </c>
      <c r="F2" t="inlineStr">
        <is>
          <t>SKÅNE LÄN</t>
        </is>
      </c>
      <c r="G2" t="inlineStr">
        <is>
          <t>LUND</t>
        </is>
      </c>
      <c r="I2" t="n">
        <v>54.6</v>
      </c>
      <c r="J2" t="n">
        <v>16</v>
      </c>
      <c r="K2" t="n">
        <v>7</v>
      </c>
      <c r="L2" t="n">
        <v>8</v>
      </c>
      <c r="M2" t="n">
        <v>3</v>
      </c>
      <c r="N2" t="n">
        <v>3</v>
      </c>
      <c r="O2" t="n">
        <v>1</v>
      </c>
      <c r="P2" t="n">
        <v>0</v>
      </c>
      <c r="Q2" t="n">
        <v>15</v>
      </c>
      <c r="R2" t="n">
        <v>7</v>
      </c>
      <c r="S2" t="n">
        <v>33</v>
      </c>
      <c r="T2" t="n">
        <v>42</v>
      </c>
      <c r="U2" t="n">
        <v>26</v>
      </c>
      <c r="V2" s="2" t="inlineStr">
        <is>
          <t>Naverlönn
Korndådra
Lundäxing
Skogsalm
Brunfläckig pärlemorfjäril
Revig blodrot
Åkermadd
Desmeknopp
Entita
Grönsångare
Gulsparv
Järnsparv
Mjukdån
Stiftklotterlav
Sydlig blekspik
Bokoxe
Grå skärelav
Guldlockmossa
Hässleklocka
Igelkottsröksvamp
Skogsknipprot
Stor häxört
Spillkråka
Kungsfågel
Större vattensalamander
Trädlärka
Åkergroda
Mindre vattensalamander
Skogsödla
Vanlig groda
Vanlig padda
Ätlig groda
Klotullört</t>
        </is>
      </c>
      <c r="W2">
        <f>HYPERLINK("https://klasma.github.io/Logging_1281/artfynd/S 9899-2021 artfynd.xlsx", "S 9899-2021")</f>
        <v/>
      </c>
      <c r="X2">
        <f>HYPERLINK("https://klasma.github.io/Logging_1281/kartor/S 9899-2021 karta.png", "S 9899-2021")</f>
        <v/>
      </c>
      <c r="Y2">
        <f>HYPERLINK("https://klasma.github.io/Logging_1281/kartor_geotiff/S 9899-2021 georefererad karta.tif", "S 9899-2021")</f>
        <v/>
      </c>
      <c r="AA2">
        <f>HYPERLINK("https://klasma.github.io/Logging_1281/klagomål/S 9899-2021 FSC-klagomål.docx", "S 9899-2021")</f>
        <v/>
      </c>
      <c r="AB2">
        <f>HYPERLINK("https://klasma.github.io/Logging_1281/klagomålsmail/S 9899-2021 FSC-klagomål mail.docx", "S 9899-2021")</f>
        <v/>
      </c>
      <c r="AC2">
        <f>HYPERLINK("https://klasma.github.io/Logging_1281/tillsyn/S 9899-2021 tillsynsbegäran.docx", "S 9899-2021")</f>
        <v/>
      </c>
      <c r="AD2">
        <f>HYPERLINK("https://klasma.github.io/Logging_1281/tillsynsmail/S 9899-2021 tillsynsbegäran mail.docx", "S 9899-2021")</f>
        <v/>
      </c>
      <c r="AE2">
        <f>HYPERLINK("https://klasma.github.io/Logging_1281/fåglar/S 9899-2021 prioriterade fågelarter.docx", "S 9899-2021")</f>
        <v/>
      </c>
    </row>
    <row r="3" ht="15" customHeight="1">
      <c r="A3" t="inlineStr">
        <is>
          <t>A 36984-2026</t>
        </is>
      </c>
      <c r="B3" t="inlineStr">
        <is>
          <t>avverkningsanmälan</t>
        </is>
      </c>
      <c r="C3" t="inlineStr">
        <is>
          <t>Avverkning för annat ändamål</t>
        </is>
      </c>
      <c r="D3" s="1" t="n">
        <v>46273</v>
      </c>
      <c r="E3" s="1" t="n">
        <v>46322</v>
      </c>
      <c r="F3" t="inlineStr">
        <is>
          <t>SKÅNE LÄN</t>
        </is>
      </c>
      <c r="G3" t="inlineStr">
        <is>
          <t>LUND</t>
        </is>
      </c>
      <c r="I3" t="n">
        <v>1.2</v>
      </c>
      <c r="J3" t="n">
        <v>3</v>
      </c>
      <c r="K3" t="n">
        <v>0</v>
      </c>
      <c r="L3" t="n">
        <v>5</v>
      </c>
      <c r="M3" t="n">
        <v>2</v>
      </c>
      <c r="N3" t="n">
        <v>2</v>
      </c>
      <c r="O3" t="n">
        <v>0</v>
      </c>
      <c r="P3" t="n">
        <v>0</v>
      </c>
      <c r="Q3" t="n">
        <v>9</v>
      </c>
      <c r="R3" t="n">
        <v>4</v>
      </c>
      <c r="S3" t="n">
        <v>10</v>
      </c>
      <c r="T3" t="n">
        <v>36</v>
      </c>
      <c r="U3" t="n">
        <v>0</v>
      </c>
      <c r="V3" s="2" t="inlineStr">
        <is>
          <t>Klubbfibbla
Åkerfibbla
Hedblomster
Luktvädd
Flentimotej
Sandnejlika
Vitfläckig guldvinge
Ängsmetallvinge
Åkerväddsantennmal
Kopparödla</t>
        </is>
      </c>
      <c r="W3">
        <f>HYPERLINK("https://klasma.github.io/Logging_1281/artfynd/A 36984-2026 artfynd.xlsx", "A 36984-2026")</f>
        <v/>
      </c>
      <c r="X3">
        <f>HYPERLINK("https://klasma.github.io/Logging_1281/kartor/A 36984-2026 karta.png", "A 36984-2026")</f>
        <v/>
      </c>
      <c r="Y3">
        <f>HYPERLINK("https://klasma.github.io/Logging_1281/kartor_geotiff/A 36984-2026 georefererad karta.tif", "A 36984-2026")</f>
        <v/>
      </c>
      <c r="AA3">
        <f>HYPERLINK("https://klasma.github.io/Logging_1281/klagomål/A 36984-2026 FSC-klagomål.docx", "A 36984-2026")</f>
        <v/>
      </c>
      <c r="AB3">
        <f>HYPERLINK("https://klasma.github.io/Logging_1281/klagomålsmail/A 36984-2026 FSC-klagomål mail.docx", "A 36984-2026")</f>
        <v/>
      </c>
      <c r="AC3">
        <f>HYPERLINK("https://klasma.github.io/Logging_1281/tillsyn/A 36984-2026 tillsynsbegäran.docx", "A 36984-2026")</f>
        <v/>
      </c>
      <c r="AD3">
        <f>HYPERLINK("https://klasma.github.io/Logging_1281/tillsynsmail/A 36984-2026 tillsynsbegäran mail.docx", "A 36984-2026")</f>
        <v/>
      </c>
    </row>
    <row r="4" ht="15" customHeight="1">
      <c r="A4" t="inlineStr">
        <is>
          <t>S 1994-2026</t>
        </is>
      </c>
      <c r="B4" t="inlineStr">
        <is>
          <t>samrådsanmälan</t>
        </is>
      </c>
      <c r="C4" t="inlineStr">
        <is>
          <t>Askåterföring</t>
        </is>
      </c>
      <c r="D4" s="1" t="n">
        <v>46213</v>
      </c>
      <c r="E4" s="1" t="n">
        <v>46322</v>
      </c>
      <c r="F4" t="inlineStr">
        <is>
          <t>SKÅNE LÄN</t>
        </is>
      </c>
      <c r="G4" t="inlineStr">
        <is>
          <t>LUND</t>
        </is>
      </c>
      <c r="I4" t="n">
        <v>73.8</v>
      </c>
      <c r="J4" t="n">
        <v>4</v>
      </c>
      <c r="K4" t="n">
        <v>3</v>
      </c>
      <c r="L4" t="n">
        <v>1</v>
      </c>
      <c r="M4" t="n">
        <v>0</v>
      </c>
      <c r="N4" t="n">
        <v>1</v>
      </c>
      <c r="O4" t="n">
        <v>0</v>
      </c>
      <c r="P4" t="n">
        <v>0</v>
      </c>
      <c r="Q4" t="n">
        <v>2</v>
      </c>
      <c r="R4" t="n">
        <v>1</v>
      </c>
      <c r="S4" t="n">
        <v>9</v>
      </c>
      <c r="T4" t="n">
        <v>11</v>
      </c>
      <c r="U4" t="n">
        <v>0</v>
      </c>
      <c r="V4" s="2" t="inlineStr">
        <is>
          <t>Skogsalm
Sydlig sotticka
Guldlockmossa
Rutbläcksvamp
Strutbräken
Lövgroda
Större vattensalamander
Svartvit flugsnappare
Kopparödla</t>
        </is>
      </c>
      <c r="W4">
        <f>HYPERLINK("https://klasma.github.io/Logging_1281/artfynd/S 1994-2026 artfynd.xlsx", "S 1994-2026")</f>
        <v/>
      </c>
      <c r="X4">
        <f>HYPERLINK("https://klasma.github.io/Logging_1281/kartor/S 1994-2026 karta.png", "S 1994-2026")</f>
        <v/>
      </c>
      <c r="Y4">
        <f>HYPERLINK("https://klasma.github.io/Logging_1281/kartor_geotiff/S 1994-2026 georefererad karta.tif", "S 1994-2026")</f>
        <v/>
      </c>
      <c r="AA4">
        <f>HYPERLINK("https://klasma.github.io/Logging_1281/klagomål/S 1994-2026 FSC-klagomål.docx", "S 1994-2026")</f>
        <v/>
      </c>
      <c r="AB4">
        <f>HYPERLINK("https://klasma.github.io/Logging_1281/klagomålsmail/S 1994-2026 FSC-klagomål mail.docx", "S 1994-2026")</f>
        <v/>
      </c>
      <c r="AC4">
        <f>HYPERLINK("https://klasma.github.io/Logging_1281/tillsyn/S 1994-2026 tillsynsbegäran.docx", "S 1994-2026")</f>
        <v/>
      </c>
      <c r="AD4">
        <f>HYPERLINK("https://klasma.github.io/Logging_1281/tillsynsmail/S 1994-2026 tillsynsbegäran mail.docx", "S 1994-2026")</f>
        <v/>
      </c>
    </row>
    <row r="5" ht="15" customHeight="1">
      <c r="A5" t="inlineStr">
        <is>
          <t>A 59733-2023</t>
        </is>
      </c>
      <c r="B5" t="inlineStr">
        <is>
          <t>avverkningsanmälan</t>
        </is>
      </c>
      <c r="C5" t="inlineStr">
        <is>
          <t>Föryngringsavverkning</t>
        </is>
      </c>
      <c r="D5" s="1" t="n">
        <v>45257</v>
      </c>
      <c r="E5" s="1" t="n">
        <v>46322</v>
      </c>
      <c r="F5" t="inlineStr">
        <is>
          <t>SKÅNE LÄN</t>
        </is>
      </c>
      <c r="G5" t="inlineStr">
        <is>
          <t>LUND</t>
        </is>
      </c>
      <c r="I5" t="n">
        <v>8.9</v>
      </c>
      <c r="J5" t="n">
        <v>0</v>
      </c>
      <c r="K5" t="n">
        <v>1</v>
      </c>
      <c r="L5" t="n">
        <v>2</v>
      </c>
      <c r="M5" t="n">
        <v>1</v>
      </c>
      <c r="N5" t="n">
        <v>0</v>
      </c>
      <c r="O5" t="n">
        <v>0</v>
      </c>
      <c r="P5" t="n">
        <v>0</v>
      </c>
      <c r="Q5" t="n">
        <v>3</v>
      </c>
      <c r="R5" t="n">
        <v>1</v>
      </c>
      <c r="S5" t="n">
        <v>4</v>
      </c>
      <c r="T5" t="n">
        <v>4</v>
      </c>
      <c r="U5" t="n">
        <v>1</v>
      </c>
      <c r="V5" s="2" t="inlineStr">
        <is>
          <t>Småvänderot
Backtimjan
Scharlakansvaxing
Ängsfingersvamp</t>
        </is>
      </c>
      <c r="W5">
        <f>HYPERLINK("https://klasma.github.io/Logging_1281/artfynd/A 59733-2023 artfynd.xlsx", "A 59733-2023")</f>
        <v/>
      </c>
      <c r="X5">
        <f>HYPERLINK("https://klasma.github.io/Logging_1281/kartor/A 59733-2023 karta.png", "A 59733-2023")</f>
        <v/>
      </c>
      <c r="Y5">
        <f>HYPERLINK("https://klasma.github.io/Logging_1281/kartor_geotiff/A 59733-2023 georefererad karta.tif", "A 59733-2023")</f>
        <v/>
      </c>
      <c r="AA5">
        <f>HYPERLINK("https://klasma.github.io/Logging_1281/klagomål/A 59733-2023 FSC-klagomål.docx", "A 59733-2023")</f>
        <v/>
      </c>
      <c r="AB5">
        <f>HYPERLINK("https://klasma.github.io/Logging_1281/klagomålsmail/A 59733-2023 FSC-klagomål mail.docx", "A 59733-2023")</f>
        <v/>
      </c>
      <c r="AC5">
        <f>HYPERLINK("https://klasma.github.io/Logging_1281/tillsyn/A 59733-2023 tillsynsbegäran.docx", "A 59733-2023")</f>
        <v/>
      </c>
      <c r="AD5">
        <f>HYPERLINK("https://klasma.github.io/Logging_1281/tillsynsmail/A 59733-2023 tillsynsbegäran mail.docx", "A 59733-2023")</f>
        <v/>
      </c>
    </row>
    <row r="6" ht="15" customHeight="1">
      <c r="A6" t="inlineStr">
        <is>
          <t>A 4816-2025</t>
        </is>
      </c>
      <c r="B6" t="inlineStr">
        <is>
          <t>avverkningsanmälan</t>
        </is>
      </c>
      <c r="C6" t="inlineStr">
        <is>
          <t>Föryngringsavverkning</t>
        </is>
      </c>
      <c r="D6" s="1" t="n">
        <v>45688</v>
      </c>
      <c r="E6" s="1" t="n">
        <v>46322</v>
      </c>
      <c r="F6" t="inlineStr">
        <is>
          <t>SKÅNE LÄN</t>
        </is>
      </c>
      <c r="G6" t="inlineStr">
        <is>
          <t>LUND</t>
        </is>
      </c>
      <c r="I6" t="n">
        <v>7.7</v>
      </c>
      <c r="J6" t="n">
        <v>0</v>
      </c>
      <c r="K6" t="n">
        <v>2</v>
      </c>
      <c r="L6" t="n">
        <v>1</v>
      </c>
      <c r="M6" t="n">
        <v>0</v>
      </c>
      <c r="N6" t="n">
        <v>1</v>
      </c>
      <c r="O6" t="n">
        <v>0</v>
      </c>
      <c r="P6" t="n">
        <v>0</v>
      </c>
      <c r="Q6" t="n">
        <v>2</v>
      </c>
      <c r="R6" t="n">
        <v>1</v>
      </c>
      <c r="S6" t="n">
        <v>4</v>
      </c>
      <c r="T6" t="n">
        <v>7</v>
      </c>
      <c r="U6" t="n">
        <v>3</v>
      </c>
      <c r="V6" s="2" t="inlineStr">
        <is>
          <t>Skogsalm
Sydlig sotticka
Guldlockmossa
Strutbräken</t>
        </is>
      </c>
      <c r="W6">
        <f>HYPERLINK("https://klasma.github.io/Logging_1281/artfynd/A 4816-2025 artfynd.xlsx", "A 4816-2025")</f>
        <v/>
      </c>
      <c r="X6">
        <f>HYPERLINK("https://klasma.github.io/Logging_1281/kartor/A 4816-2025 karta.png", "A 4816-2025")</f>
        <v/>
      </c>
      <c r="Y6">
        <f>HYPERLINK("https://klasma.github.io/Logging_1281/kartor_geotiff/A 4816-2025 georefererad karta.tif", "A 4816-2025")</f>
        <v/>
      </c>
      <c r="AA6">
        <f>HYPERLINK("https://klasma.github.io/Logging_1281/klagomål/A 4816-2025 FSC-klagomål.docx", "A 4816-2025")</f>
        <v/>
      </c>
      <c r="AB6">
        <f>HYPERLINK("https://klasma.github.io/Logging_1281/klagomålsmail/A 4816-2025 FSC-klagomål mail.docx", "A 4816-2025")</f>
        <v/>
      </c>
      <c r="AC6">
        <f>HYPERLINK("https://klasma.github.io/Logging_1281/tillsyn/A 4816-2025 tillsynsbegäran.docx", "A 4816-2025")</f>
        <v/>
      </c>
      <c r="AD6">
        <f>HYPERLINK("https://klasma.github.io/Logging_1281/tillsynsmail/A 4816-2025 tillsynsbegäran mail.docx", "A 4816-2025")</f>
        <v/>
      </c>
    </row>
    <row r="7" ht="15" customHeight="1">
      <c r="A7" t="inlineStr">
        <is>
          <t>A 31764-2023</t>
        </is>
      </c>
      <c r="B7" t="inlineStr">
        <is>
          <t>avverkningsanmälan</t>
        </is>
      </c>
      <c r="C7" t="inlineStr">
        <is>
          <t>Föryngringsavverkning</t>
        </is>
      </c>
      <c r="D7" s="1" t="n">
        <v>45118</v>
      </c>
      <c r="E7" s="1" t="n">
        <v>46322</v>
      </c>
      <c r="F7" t="inlineStr">
        <is>
          <t>SKÅNE LÄN</t>
        </is>
      </c>
      <c r="G7" t="inlineStr">
        <is>
          <t>LUND</t>
        </is>
      </c>
      <c r="H7" t="inlineStr">
        <is>
          <t>Kommuner</t>
        </is>
      </c>
      <c r="I7" t="n">
        <v>1.2</v>
      </c>
      <c r="J7" t="n">
        <v>1</v>
      </c>
      <c r="K7" t="n">
        <v>0</v>
      </c>
      <c r="L7" t="n">
        <v>2</v>
      </c>
      <c r="M7" t="n">
        <v>0</v>
      </c>
      <c r="N7" t="n">
        <v>0</v>
      </c>
      <c r="O7" t="n">
        <v>0</v>
      </c>
      <c r="P7" t="n">
        <v>0</v>
      </c>
      <c r="Q7" t="n">
        <v>3</v>
      </c>
      <c r="R7" t="n">
        <v>0</v>
      </c>
      <c r="S7" t="n">
        <v>4</v>
      </c>
      <c r="T7" t="n">
        <v>4</v>
      </c>
      <c r="U7" t="n">
        <v>1</v>
      </c>
      <c r="V7" s="2" t="inlineStr">
        <is>
          <t>Rosenporing
Sydlig sotticka
Skorpdyna
Vanlig snok</t>
        </is>
      </c>
      <c r="W7">
        <f>HYPERLINK("https://klasma.github.io/Logging_1281/artfynd/A 31764-2023 artfynd.xlsx", "A 31764-2023")</f>
        <v/>
      </c>
      <c r="X7">
        <f>HYPERLINK("https://klasma.github.io/Logging_1281/kartor/A 31764-2023 karta.png", "A 31764-2023")</f>
        <v/>
      </c>
      <c r="Y7">
        <f>HYPERLINK("https://klasma.github.io/Logging_1281/kartor_geotiff/A 31764-2023 georefererad karta.tif", "A 31764-2023")</f>
        <v/>
      </c>
      <c r="AA7">
        <f>HYPERLINK("https://klasma.github.io/Logging_1281/klagomål/A 31764-2023 FSC-klagomål.docx", "A 31764-2023")</f>
        <v/>
      </c>
      <c r="AB7">
        <f>HYPERLINK("https://klasma.github.io/Logging_1281/klagomålsmail/A 31764-2023 FSC-klagomål mail.docx", "A 31764-2023")</f>
        <v/>
      </c>
      <c r="AC7">
        <f>HYPERLINK("https://klasma.github.io/Logging_1281/tillsyn/A 31764-2023 tillsynsbegäran.docx", "A 31764-2023")</f>
        <v/>
      </c>
      <c r="AD7">
        <f>HYPERLINK("https://klasma.github.io/Logging_1281/tillsynsmail/A 31764-2023 tillsynsbegäran mail.docx", "A 31764-2023")</f>
        <v/>
      </c>
    </row>
    <row r="8" ht="15" customHeight="1">
      <c r="A8" t="inlineStr">
        <is>
          <t>A 57726-2024</t>
        </is>
      </c>
      <c r="B8" t="inlineStr">
        <is>
          <t>avverkningsanmälan</t>
        </is>
      </c>
      <c r="C8" t="inlineStr">
        <is>
          <t>Föryngringsavverkning</t>
        </is>
      </c>
      <c r="D8" s="1" t="n">
        <v>45630</v>
      </c>
      <c r="E8" s="1" t="n">
        <v>46322</v>
      </c>
      <c r="F8" t="inlineStr">
        <is>
          <t>SKÅNE LÄN</t>
        </is>
      </c>
      <c r="G8" t="inlineStr">
        <is>
          <t>LUND</t>
        </is>
      </c>
      <c r="I8" t="n">
        <v>11.4</v>
      </c>
      <c r="J8" t="n">
        <v>3</v>
      </c>
      <c r="K8" t="n">
        <v>0</v>
      </c>
      <c r="L8" t="n">
        <v>3</v>
      </c>
      <c r="M8" t="n">
        <v>0</v>
      </c>
      <c r="N8" t="n">
        <v>0</v>
      </c>
      <c r="O8" t="n">
        <v>0</v>
      </c>
      <c r="P8" t="n">
        <v>0</v>
      </c>
      <c r="Q8" t="n">
        <v>3</v>
      </c>
      <c r="R8" t="n">
        <v>0</v>
      </c>
      <c r="S8" t="n">
        <v>3</v>
      </c>
      <c r="T8" t="n">
        <v>6</v>
      </c>
      <c r="U8" t="n">
        <v>2</v>
      </c>
      <c r="V8" s="2" t="inlineStr">
        <is>
          <t>Duvhök
Grönsångare
Mindre hackspett</t>
        </is>
      </c>
      <c r="W8">
        <f>HYPERLINK("https://klasma.github.io/Logging_1281/artfynd/A 57726-2024 artfynd.xlsx", "A 57726-2024")</f>
        <v/>
      </c>
      <c r="X8">
        <f>HYPERLINK("https://klasma.github.io/Logging_1281/kartor/A 57726-2024 karta.png", "A 57726-2024")</f>
        <v/>
      </c>
      <c r="Y8">
        <f>HYPERLINK("https://klasma.github.io/Logging_1281/kartor_geotiff/A 57726-2024 georefererad karta.tif", "A 57726-2024")</f>
        <v/>
      </c>
      <c r="AA8">
        <f>HYPERLINK("https://klasma.github.io/Logging_1281/klagomål/A 57726-2024 FSC-klagomål.docx", "A 57726-2024")</f>
        <v/>
      </c>
      <c r="AB8">
        <f>HYPERLINK("https://klasma.github.io/Logging_1281/klagomålsmail/A 57726-2024 FSC-klagomål mail.docx", "A 57726-2024")</f>
        <v/>
      </c>
      <c r="AC8">
        <f>HYPERLINK("https://klasma.github.io/Logging_1281/tillsyn/A 57726-2024 tillsynsbegäran.docx", "A 57726-2024")</f>
        <v/>
      </c>
      <c r="AD8">
        <f>HYPERLINK("https://klasma.github.io/Logging_1281/tillsynsmail/A 57726-2024 tillsynsbegäran mail.docx", "A 57726-2024")</f>
        <v/>
      </c>
      <c r="AE8">
        <f>HYPERLINK("https://klasma.github.io/Logging_1281/fåglar/A 57726-2024 prioriterade fågelarter.docx", "A 57726-2024")</f>
        <v/>
      </c>
    </row>
    <row r="9" ht="15" customHeight="1">
      <c r="A9" t="inlineStr">
        <is>
          <t>S 1993-2026</t>
        </is>
      </c>
      <c r="B9" t="inlineStr">
        <is>
          <t>samrådsanmälan</t>
        </is>
      </c>
      <c r="C9" t="inlineStr">
        <is>
          <t>Askåterföring</t>
        </is>
      </c>
      <c r="D9" s="1" t="n">
        <v>46213</v>
      </c>
      <c r="E9" s="1" t="n">
        <v>46322</v>
      </c>
      <c r="F9" t="inlineStr">
        <is>
          <t>SKÅNE LÄN</t>
        </is>
      </c>
      <c r="G9" t="inlineStr">
        <is>
          <t>LUND</t>
        </is>
      </c>
      <c r="I9" t="n">
        <v>43.2</v>
      </c>
      <c r="J9" t="n">
        <v>2</v>
      </c>
      <c r="K9" t="n">
        <v>0</v>
      </c>
      <c r="L9" t="n">
        <v>1</v>
      </c>
      <c r="M9" t="n">
        <v>1</v>
      </c>
      <c r="N9" t="n">
        <v>0</v>
      </c>
      <c r="O9" t="n">
        <v>0</v>
      </c>
      <c r="P9" t="n">
        <v>0</v>
      </c>
      <c r="Q9" t="n">
        <v>2</v>
      </c>
      <c r="R9" t="n">
        <v>1</v>
      </c>
      <c r="S9" t="n">
        <v>3</v>
      </c>
      <c r="T9" t="n">
        <v>5</v>
      </c>
      <c r="U9" t="n">
        <v>0</v>
      </c>
      <c r="V9" s="2" t="inlineStr">
        <is>
          <t>Sexfläckig bastardsvärmare
Entita
Grönsiska</t>
        </is>
      </c>
      <c r="W9">
        <f>HYPERLINK("https://klasma.github.io/Logging_1281/artfynd/S 1993-2026 artfynd.xlsx", "S 1993-2026")</f>
        <v/>
      </c>
      <c r="X9">
        <f>HYPERLINK("https://klasma.github.io/Logging_1281/kartor/S 1993-2026 karta.png", "S 1993-2026")</f>
        <v/>
      </c>
      <c r="Y9">
        <f>HYPERLINK("https://klasma.github.io/Logging_1281/kartor_geotiff/S 1993-2026 georefererad karta.tif", "S 1993-2026")</f>
        <v/>
      </c>
      <c r="AA9">
        <f>HYPERLINK("https://klasma.github.io/Logging_1281/klagomål/S 1993-2026 FSC-klagomål.docx", "S 1993-2026")</f>
        <v/>
      </c>
      <c r="AB9">
        <f>HYPERLINK("https://klasma.github.io/Logging_1281/klagomålsmail/S 1993-2026 FSC-klagomål mail.docx", "S 1993-2026")</f>
        <v/>
      </c>
      <c r="AC9">
        <f>HYPERLINK("https://klasma.github.io/Logging_1281/tillsyn/S 1993-2026 tillsynsbegäran.docx", "S 1993-2026")</f>
        <v/>
      </c>
      <c r="AD9">
        <f>HYPERLINK("https://klasma.github.io/Logging_1281/tillsynsmail/S 1993-2026 tillsynsbegäran mail.docx", "S 1993-2026")</f>
        <v/>
      </c>
      <c r="AE9">
        <f>HYPERLINK("https://klasma.github.io/Logging_1281/fåglar/S 1993-2026 prioriterade fågelarter.docx", "S 1993-2026")</f>
        <v/>
      </c>
    </row>
    <row r="10" ht="15" customHeight="1">
      <c r="A10" t="inlineStr">
        <is>
          <t>A 72269-2021</t>
        </is>
      </c>
      <c r="B10" t="inlineStr">
        <is>
          <t>avverkningsanmälan</t>
        </is>
      </c>
      <c r="C10" t="inlineStr">
        <is>
          <t>Avverkning för annat ändamål</t>
        </is>
      </c>
      <c r="D10" s="1" t="n">
        <v>44543</v>
      </c>
      <c r="E10" s="1" t="n">
        <v>46322</v>
      </c>
      <c r="F10" t="inlineStr">
        <is>
          <t>SKÅNE LÄN</t>
        </is>
      </c>
      <c r="G10" t="inlineStr">
        <is>
          <t>LUND</t>
        </is>
      </c>
      <c r="I10" t="n">
        <v>3.2</v>
      </c>
      <c r="J10" t="n">
        <v>0</v>
      </c>
      <c r="K10" t="n">
        <v>2</v>
      </c>
      <c r="L10" t="n">
        <v>0</v>
      </c>
      <c r="M10" t="n">
        <v>0</v>
      </c>
      <c r="N10" t="n">
        <v>0</v>
      </c>
      <c r="O10" t="n">
        <v>0</v>
      </c>
      <c r="P10" t="n">
        <v>0</v>
      </c>
      <c r="Q10" t="n">
        <v>0</v>
      </c>
      <c r="R10" t="n">
        <v>0</v>
      </c>
      <c r="S10" t="n">
        <v>2</v>
      </c>
      <c r="T10" t="n">
        <v>2</v>
      </c>
      <c r="U10" t="n">
        <v>0</v>
      </c>
      <c r="V10" s="2" t="inlineStr">
        <is>
          <t>Blanksvart trämyra
Stor häxört</t>
        </is>
      </c>
      <c r="W10">
        <f>HYPERLINK("https://klasma.github.io/Logging_1281/artfynd/A 72269-2021 artfynd.xlsx", "A 72269-2021")</f>
        <v/>
      </c>
      <c r="X10">
        <f>HYPERLINK("https://klasma.github.io/Logging_1281/kartor/A 72269-2021 karta.png", "A 72269-2021")</f>
        <v/>
      </c>
      <c r="Y10">
        <f>HYPERLINK("https://klasma.github.io/Logging_1281/kartor_geotiff/A 72269-2021 georefererad karta.tif", "A 72269-2021")</f>
        <v/>
      </c>
      <c r="AA10">
        <f>HYPERLINK("https://klasma.github.io/Logging_1281/klagomål/A 72269-2021 FSC-klagomål.docx", "A 72269-2021")</f>
        <v/>
      </c>
      <c r="AB10">
        <f>HYPERLINK("https://klasma.github.io/Logging_1281/klagomålsmail/A 72269-2021 FSC-klagomål mail.docx", "A 72269-2021")</f>
        <v/>
      </c>
      <c r="AC10">
        <f>HYPERLINK("https://klasma.github.io/Logging_1281/tillsyn/A 72269-2021 tillsynsbegäran.docx", "A 72269-2021")</f>
        <v/>
      </c>
      <c r="AD10">
        <f>HYPERLINK("https://klasma.github.io/Logging_1281/tillsynsmail/A 72269-2021 tillsynsbegäran mail.docx", "A 72269-2021")</f>
        <v/>
      </c>
    </row>
    <row r="11" ht="15" customHeight="1">
      <c r="A11" t="inlineStr">
        <is>
          <t>A 10617-2025</t>
        </is>
      </c>
      <c r="B11" t="inlineStr">
        <is>
          <t>avverkningsanmälan</t>
        </is>
      </c>
      <c r="C11" t="inlineStr">
        <is>
          <t>Föryngringsavverkning</t>
        </is>
      </c>
      <c r="D11" s="1" t="n">
        <v>45721</v>
      </c>
      <c r="E11" s="1" t="n">
        <v>46322</v>
      </c>
      <c r="F11" t="inlineStr">
        <is>
          <t>SKÅNE LÄN</t>
        </is>
      </c>
      <c r="G11" t="inlineStr">
        <is>
          <t>LUND</t>
        </is>
      </c>
      <c r="I11" t="n">
        <v>1.9</v>
      </c>
      <c r="J11" t="n">
        <v>2</v>
      </c>
      <c r="K11" t="n">
        <v>0</v>
      </c>
      <c r="L11" t="n">
        <v>2</v>
      </c>
      <c r="M11" t="n">
        <v>0</v>
      </c>
      <c r="N11" t="n">
        <v>0</v>
      </c>
      <c r="O11" t="n">
        <v>0</v>
      </c>
      <c r="P11" t="n">
        <v>0</v>
      </c>
      <c r="Q11" t="n">
        <v>2</v>
      </c>
      <c r="R11" t="n">
        <v>0</v>
      </c>
      <c r="S11" t="n">
        <v>2</v>
      </c>
      <c r="T11" t="n">
        <v>2</v>
      </c>
      <c r="U11" t="n">
        <v>0</v>
      </c>
      <c r="V11" s="2" t="inlineStr">
        <is>
          <t>Lökgroda
Strandpadda</t>
        </is>
      </c>
      <c r="W11">
        <f>HYPERLINK("https://klasma.github.io/Logging_1281/artfynd/A 10617-2025 artfynd.xlsx", "A 10617-2025")</f>
        <v/>
      </c>
      <c r="X11">
        <f>HYPERLINK("https://klasma.github.io/Logging_1281/kartor/A 10617-2025 karta.png", "A 10617-2025")</f>
        <v/>
      </c>
      <c r="Y11">
        <f>HYPERLINK("https://klasma.github.io/Logging_1281/kartor_geotiff/A 10617-2025 georefererad karta.tif", "A 10617-2025")</f>
        <v/>
      </c>
      <c r="AA11">
        <f>HYPERLINK("https://klasma.github.io/Logging_1281/klagomål/A 10617-2025 FSC-klagomål.docx", "A 10617-2025")</f>
        <v/>
      </c>
      <c r="AB11">
        <f>HYPERLINK("https://klasma.github.io/Logging_1281/klagomålsmail/A 10617-2025 FSC-klagomål mail.docx", "A 10617-2025")</f>
        <v/>
      </c>
      <c r="AC11">
        <f>HYPERLINK("https://klasma.github.io/Logging_1281/tillsyn/A 10617-2025 tillsynsbegäran.docx", "A 10617-2025")</f>
        <v/>
      </c>
      <c r="AD11">
        <f>HYPERLINK("https://klasma.github.io/Logging_1281/tillsynsmail/A 10617-2025 tillsynsbegäran mail.docx", "A 10617-2025")</f>
        <v/>
      </c>
    </row>
    <row r="12" ht="15" customHeight="1">
      <c r="A12" t="inlineStr">
        <is>
          <t>S 627-2025</t>
        </is>
      </c>
      <c r="B12" t="inlineStr">
        <is>
          <t>samrådsanmälan</t>
        </is>
      </c>
      <c r="C12" t="inlineStr">
        <is>
          <t>Askåterföring</t>
        </is>
      </c>
      <c r="D12" s="1" t="n">
        <v>45714</v>
      </c>
      <c r="E12" s="1" t="n">
        <v>46322</v>
      </c>
      <c r="F12" t="inlineStr">
        <is>
          <t>SKÅNE LÄN</t>
        </is>
      </c>
      <c r="G12" t="inlineStr">
        <is>
          <t>LUND</t>
        </is>
      </c>
      <c r="I12" t="n">
        <v>57.7</v>
      </c>
      <c r="J12" t="n">
        <v>0</v>
      </c>
      <c r="K12" t="n">
        <v>1</v>
      </c>
      <c r="L12" t="n">
        <v>1</v>
      </c>
      <c r="M12" t="n">
        <v>0</v>
      </c>
      <c r="N12" t="n">
        <v>0</v>
      </c>
      <c r="O12" t="n">
        <v>0</v>
      </c>
      <c r="P12" t="n">
        <v>0</v>
      </c>
      <c r="Q12" t="n">
        <v>1</v>
      </c>
      <c r="R12" t="n">
        <v>0</v>
      </c>
      <c r="S12" t="n">
        <v>2</v>
      </c>
      <c r="T12" t="n">
        <v>2</v>
      </c>
      <c r="U12" t="n">
        <v>2</v>
      </c>
      <c r="V12" s="2" t="inlineStr">
        <is>
          <t>Orangepudrad klotterlav
Stor häxört</t>
        </is>
      </c>
      <c r="W12">
        <f>HYPERLINK("https://klasma.github.io/Logging_1281/artfynd/S 627-2025 artfynd.xlsx", "S 627-2025")</f>
        <v/>
      </c>
      <c r="X12">
        <f>HYPERLINK("https://klasma.github.io/Logging_1281/kartor/S 627-2025 karta.png", "S 627-2025")</f>
        <v/>
      </c>
      <c r="Y12">
        <f>HYPERLINK("https://klasma.github.io/Logging_1281/kartor_geotiff/S 627-2025 georefererad karta.tif", "S 627-2025")</f>
        <v/>
      </c>
      <c r="AA12">
        <f>HYPERLINK("https://klasma.github.io/Logging_1281/klagomål/S 627-2025 FSC-klagomål.docx", "S 627-2025")</f>
        <v/>
      </c>
      <c r="AB12">
        <f>HYPERLINK("https://klasma.github.io/Logging_1281/klagomålsmail/S 627-2025 FSC-klagomål mail.docx", "S 627-2025")</f>
        <v/>
      </c>
      <c r="AC12">
        <f>HYPERLINK("https://klasma.github.io/Logging_1281/tillsyn/S 627-2025 tillsynsbegäran.docx", "S 627-2025")</f>
        <v/>
      </c>
      <c r="AD12">
        <f>HYPERLINK("https://klasma.github.io/Logging_1281/tillsynsmail/S 627-2025 tillsynsbegäran mail.docx", "S 627-2025")</f>
        <v/>
      </c>
    </row>
    <row r="13" ht="15" customHeight="1">
      <c r="A13" t="inlineStr">
        <is>
          <t>S 1992-2026</t>
        </is>
      </c>
      <c r="B13" t="inlineStr">
        <is>
          <t>samrådsanmälan</t>
        </is>
      </c>
      <c r="C13" t="inlineStr">
        <is>
          <t>Askåterföring</t>
        </is>
      </c>
      <c r="D13" s="1" t="n">
        <v>46213</v>
      </c>
      <c r="E13" s="1" t="n">
        <v>46322</v>
      </c>
      <c r="F13" t="inlineStr">
        <is>
          <t>SKÅNE LÄN</t>
        </is>
      </c>
      <c r="G13" t="inlineStr">
        <is>
          <t>LUND</t>
        </is>
      </c>
      <c r="I13" t="n">
        <v>5.2</v>
      </c>
      <c r="J13" t="n">
        <v>1</v>
      </c>
      <c r="K13" t="n">
        <v>0</v>
      </c>
      <c r="L13" t="n">
        <v>0</v>
      </c>
      <c r="M13" t="n">
        <v>1</v>
      </c>
      <c r="N13" t="n">
        <v>0</v>
      </c>
      <c r="O13" t="n">
        <v>0</v>
      </c>
      <c r="P13" t="n">
        <v>0</v>
      </c>
      <c r="Q13" t="n">
        <v>1</v>
      </c>
      <c r="R13" t="n">
        <v>1</v>
      </c>
      <c r="S13" t="n">
        <v>2</v>
      </c>
      <c r="T13" t="n">
        <v>2</v>
      </c>
      <c r="U13" t="n">
        <v>0</v>
      </c>
      <c r="V13" s="2" t="inlineStr">
        <is>
          <t>Slåttergubbe
Grönvit nattviol</t>
        </is>
      </c>
      <c r="W13">
        <f>HYPERLINK("https://klasma.github.io/Logging_1281/artfynd/S 1992-2026 artfynd.xlsx", "S 1992-2026")</f>
        <v/>
      </c>
      <c r="X13">
        <f>HYPERLINK("https://klasma.github.io/Logging_1281/kartor/S 1992-2026 karta.png", "S 1992-2026")</f>
        <v/>
      </c>
      <c r="Y13">
        <f>HYPERLINK("https://klasma.github.io/Logging_1281/kartor_geotiff/S 1992-2026 georefererad karta.tif", "S 1992-2026")</f>
        <v/>
      </c>
      <c r="AA13">
        <f>HYPERLINK("https://klasma.github.io/Logging_1281/klagomål/S 1992-2026 FSC-klagomål.docx", "S 1992-2026")</f>
        <v/>
      </c>
      <c r="AB13">
        <f>HYPERLINK("https://klasma.github.io/Logging_1281/klagomålsmail/S 1992-2026 FSC-klagomål mail.docx", "S 1992-2026")</f>
        <v/>
      </c>
      <c r="AC13">
        <f>HYPERLINK("https://klasma.github.io/Logging_1281/tillsyn/S 1992-2026 tillsynsbegäran.docx", "S 1992-2026")</f>
        <v/>
      </c>
      <c r="AD13">
        <f>HYPERLINK("https://klasma.github.io/Logging_1281/tillsynsmail/S 1992-2026 tillsynsbegäran mail.docx", "S 1992-2026")</f>
        <v/>
      </c>
    </row>
    <row r="14" ht="15" customHeight="1">
      <c r="A14" t="inlineStr">
        <is>
          <t>A 39260-2025</t>
        </is>
      </c>
      <c r="B14" t="inlineStr">
        <is>
          <t>avverkningsanmälan</t>
        </is>
      </c>
      <c r="C14" t="inlineStr">
        <is>
          <t>Föryngringsavverkning</t>
        </is>
      </c>
      <c r="D14" s="1" t="n">
        <v>45889</v>
      </c>
      <c r="E14" s="1" t="n">
        <v>46322</v>
      </c>
      <c r="F14" t="inlineStr">
        <is>
          <t>SKÅNE LÄN</t>
        </is>
      </c>
      <c r="G14" t="inlineStr">
        <is>
          <t>LUND</t>
        </is>
      </c>
      <c r="I14" t="n">
        <v>7.6</v>
      </c>
      <c r="J14" t="n">
        <v>1</v>
      </c>
      <c r="K14" t="n">
        <v>0</v>
      </c>
      <c r="L14" t="n">
        <v>0</v>
      </c>
      <c r="M14" t="n">
        <v>0</v>
      </c>
      <c r="N14" t="n">
        <v>0</v>
      </c>
      <c r="O14" t="n">
        <v>0</v>
      </c>
      <c r="P14" t="n">
        <v>0</v>
      </c>
      <c r="Q14" t="n">
        <v>0</v>
      </c>
      <c r="R14" t="n">
        <v>0</v>
      </c>
      <c r="S14" t="n">
        <v>1</v>
      </c>
      <c r="T14" t="n">
        <v>1</v>
      </c>
      <c r="U14" t="n">
        <v>0</v>
      </c>
      <c r="V14" s="2" t="inlineStr">
        <is>
          <t>Skogsödla</t>
        </is>
      </c>
      <c r="W14">
        <f>HYPERLINK("https://klasma.github.io/Logging_1281/artfynd/A 39260-2025 artfynd.xlsx", "A 39260-2025")</f>
        <v/>
      </c>
      <c r="X14">
        <f>HYPERLINK("https://klasma.github.io/Logging_1281/kartor/A 39260-2025 karta.png", "A 39260-2025")</f>
        <v/>
      </c>
      <c r="Y14">
        <f>HYPERLINK("https://klasma.github.io/Logging_1281/kartor_geotiff/A 39260-2025 georefererad karta.tif", "A 39260-2025")</f>
        <v/>
      </c>
      <c r="AA14">
        <f>HYPERLINK("https://klasma.github.io/Logging_1281/klagomål/A 39260-2025 FSC-klagomål.docx", "A 39260-2025")</f>
        <v/>
      </c>
      <c r="AB14">
        <f>HYPERLINK("https://klasma.github.io/Logging_1281/klagomålsmail/A 39260-2025 FSC-klagomål mail.docx", "A 39260-2025")</f>
        <v/>
      </c>
      <c r="AC14">
        <f>HYPERLINK("https://klasma.github.io/Logging_1281/tillsyn/A 39260-2025 tillsynsbegäran.docx", "A 39260-2025")</f>
        <v/>
      </c>
      <c r="AD14">
        <f>HYPERLINK("https://klasma.github.io/Logging_1281/tillsynsmail/A 39260-2025 tillsynsbegäran mail.docx", "A 39260-2025")</f>
        <v/>
      </c>
    </row>
    <row r="15" ht="15" customHeight="1">
      <c r="A15" t="inlineStr">
        <is>
          <t>A 55158-2023</t>
        </is>
      </c>
      <c r="B15" t="inlineStr">
        <is>
          <t>avverkningsanmälan</t>
        </is>
      </c>
      <c r="C15" t="inlineStr">
        <is>
          <t>Föryngringsavverkning</t>
        </is>
      </c>
      <c r="D15" s="1" t="n">
        <v>45237</v>
      </c>
      <c r="E15" s="1" t="n">
        <v>46322</v>
      </c>
      <c r="F15" t="inlineStr">
        <is>
          <t>SKÅNE LÄN</t>
        </is>
      </c>
      <c r="G15" t="inlineStr">
        <is>
          <t>LUND</t>
        </is>
      </c>
      <c r="H15" t="inlineStr">
        <is>
          <t>Kommuner</t>
        </is>
      </c>
      <c r="I15" t="n">
        <v>0.7</v>
      </c>
      <c r="J15" t="n">
        <v>0</v>
      </c>
      <c r="K15" t="n">
        <v>0</v>
      </c>
      <c r="L15" t="n">
        <v>1</v>
      </c>
      <c r="M15" t="n">
        <v>0</v>
      </c>
      <c r="N15" t="n">
        <v>0</v>
      </c>
      <c r="O15" t="n">
        <v>0</v>
      </c>
      <c r="P15" t="n">
        <v>0</v>
      </c>
      <c r="Q15" t="n">
        <v>1</v>
      </c>
      <c r="R15" t="n">
        <v>0</v>
      </c>
      <c r="S15" t="n">
        <v>1</v>
      </c>
      <c r="T15" t="n">
        <v>2</v>
      </c>
      <c r="U15" t="n">
        <v>0</v>
      </c>
      <c r="V15" s="2" t="inlineStr">
        <is>
          <t>Backtimjan</t>
        </is>
      </c>
      <c r="W15">
        <f>HYPERLINK("https://klasma.github.io/Logging_1281/artfynd/A 55158-2023 artfynd.xlsx", "A 55158-2023")</f>
        <v/>
      </c>
      <c r="X15">
        <f>HYPERLINK("https://klasma.github.io/Logging_1281/kartor/A 55158-2023 karta.png", "A 55158-2023")</f>
        <v/>
      </c>
      <c r="Y15">
        <f>HYPERLINK("https://klasma.github.io/Logging_1281/kartor_geotiff/A 55158-2023 georefererad karta.tif", "A 55158-2023")</f>
        <v/>
      </c>
      <c r="AA15">
        <f>HYPERLINK("https://klasma.github.io/Logging_1281/klagomål/A 55158-2023 FSC-klagomål.docx", "A 55158-2023")</f>
        <v/>
      </c>
      <c r="AB15">
        <f>HYPERLINK("https://klasma.github.io/Logging_1281/klagomålsmail/A 55158-2023 FSC-klagomål mail.docx", "A 55158-2023")</f>
        <v/>
      </c>
      <c r="AC15">
        <f>HYPERLINK("https://klasma.github.io/Logging_1281/tillsyn/A 55158-2023 tillsynsbegäran.docx", "A 55158-2023")</f>
        <v/>
      </c>
      <c r="AD15">
        <f>HYPERLINK("https://klasma.github.io/Logging_1281/tillsynsmail/A 55158-2023 tillsynsbegäran mail.docx", "A 55158-2023")</f>
        <v/>
      </c>
    </row>
    <row r="16" ht="15" customHeight="1">
      <c r="A16" t="inlineStr">
        <is>
          <t>A 27377-2026</t>
        </is>
      </c>
      <c r="B16" t="inlineStr">
        <is>
          <t>avverkningsanmälan</t>
        </is>
      </c>
      <c r="C16" t="inlineStr">
        <is>
          <t>Föryngringsavverkning</t>
        </is>
      </c>
      <c r="D16" s="1" t="n">
        <v>46189</v>
      </c>
      <c r="E16" s="1" t="n">
        <v>46322</v>
      </c>
      <c r="F16" t="inlineStr">
        <is>
          <t>SKÅNE LÄN</t>
        </is>
      </c>
      <c r="G16" t="inlineStr">
        <is>
          <t>LUND</t>
        </is>
      </c>
      <c r="I16" t="n">
        <v>0.7</v>
      </c>
      <c r="J16" t="n">
        <v>1</v>
      </c>
      <c r="K16" t="n">
        <v>0</v>
      </c>
      <c r="L16" t="n">
        <v>0</v>
      </c>
      <c r="M16" t="n">
        <v>0</v>
      </c>
      <c r="N16" t="n">
        <v>0</v>
      </c>
      <c r="O16" t="n">
        <v>0</v>
      </c>
      <c r="P16" t="n">
        <v>0</v>
      </c>
      <c r="Q16" t="n">
        <v>0</v>
      </c>
      <c r="R16" t="n">
        <v>0</v>
      </c>
      <c r="S16" t="n">
        <v>1</v>
      </c>
      <c r="T16" t="n">
        <v>1</v>
      </c>
      <c r="U16" t="n">
        <v>0</v>
      </c>
      <c r="V16" s="2" t="inlineStr">
        <is>
          <t>Ätlig groda</t>
        </is>
      </c>
      <c r="W16">
        <f>HYPERLINK("https://klasma.github.io/Logging_1281/artfynd/A 27377-2026 artfynd.xlsx", "A 27377-2026")</f>
        <v/>
      </c>
      <c r="X16">
        <f>HYPERLINK("https://klasma.github.io/Logging_1281/kartor/A 27377-2026 karta.png", "A 27377-2026")</f>
        <v/>
      </c>
      <c r="Y16">
        <f>HYPERLINK("https://klasma.github.io/Logging_1281/kartor_geotiff/A 27377-2026 georefererad karta.tif", "A 27377-2026")</f>
        <v/>
      </c>
      <c r="AA16">
        <f>HYPERLINK("https://klasma.github.io/Logging_1281/klagomål/A 27377-2026 FSC-klagomål.docx", "A 27377-2026")</f>
        <v/>
      </c>
      <c r="AB16">
        <f>HYPERLINK("https://klasma.github.io/Logging_1281/klagomålsmail/A 27377-2026 FSC-klagomål mail.docx", "A 27377-2026")</f>
        <v/>
      </c>
      <c r="AC16">
        <f>HYPERLINK("https://klasma.github.io/Logging_1281/tillsyn/A 27377-2026 tillsynsbegäran.docx", "A 27377-2026")</f>
        <v/>
      </c>
      <c r="AD16">
        <f>HYPERLINK("https://klasma.github.io/Logging_1281/tillsynsmail/A 27377-2026 tillsynsbegäran mail.docx", "A 27377-2026")</f>
        <v/>
      </c>
    </row>
    <row r="17" ht="15" customHeight="1">
      <c r="A17" t="inlineStr">
        <is>
          <t>A 11732-2024</t>
        </is>
      </c>
      <c r="B17" t="inlineStr">
        <is>
          <t>avverkningsanmälan</t>
        </is>
      </c>
      <c r="C17" t="inlineStr">
        <is>
          <t>Föryngringsavverkning</t>
        </is>
      </c>
      <c r="D17" s="1" t="n">
        <v>45373</v>
      </c>
      <c r="E17" s="1" t="n">
        <v>46322</v>
      </c>
      <c r="F17" t="inlineStr">
        <is>
          <t>SKÅNE LÄN</t>
        </is>
      </c>
      <c r="G17" t="inlineStr">
        <is>
          <t>LUND</t>
        </is>
      </c>
      <c r="I17" t="n">
        <v>2.8</v>
      </c>
      <c r="J17" t="n">
        <v>1</v>
      </c>
      <c r="K17" t="n">
        <v>0</v>
      </c>
      <c r="L17" t="n">
        <v>0</v>
      </c>
      <c r="M17" t="n">
        <v>0</v>
      </c>
      <c r="N17" t="n">
        <v>1</v>
      </c>
      <c r="O17" t="n">
        <v>0</v>
      </c>
      <c r="P17" t="n">
        <v>0</v>
      </c>
      <c r="Q17" t="n">
        <v>1</v>
      </c>
      <c r="R17" t="n">
        <v>1</v>
      </c>
      <c r="S17" t="n">
        <v>1</v>
      </c>
      <c r="T17" t="n">
        <v>2</v>
      </c>
      <c r="U17" t="n">
        <v>2</v>
      </c>
      <c r="V17" s="2" t="inlineStr">
        <is>
          <t>Dvärgjohannesört</t>
        </is>
      </c>
      <c r="W17">
        <f>HYPERLINK("https://klasma.github.io/Logging_1281/artfynd/A 11732-2024 artfynd.xlsx", "A 11732-2024")</f>
        <v/>
      </c>
      <c r="X17">
        <f>HYPERLINK("https://klasma.github.io/Logging_1281/kartor/A 11732-2024 karta.png", "A 11732-2024")</f>
        <v/>
      </c>
      <c r="Y17">
        <f>HYPERLINK("https://klasma.github.io/Logging_1281/kartor_geotiff/A 11732-2024 georefererad karta.tif", "A 11732-2024")</f>
        <v/>
      </c>
      <c r="AA17">
        <f>HYPERLINK("https://klasma.github.io/Logging_1281/klagomål/A 11732-2024 FSC-klagomål.docx", "A 11732-2024")</f>
        <v/>
      </c>
      <c r="AB17">
        <f>HYPERLINK("https://klasma.github.io/Logging_1281/klagomålsmail/A 11732-2024 FSC-klagomål mail.docx", "A 11732-2024")</f>
        <v/>
      </c>
      <c r="AC17">
        <f>HYPERLINK("https://klasma.github.io/Logging_1281/tillsyn/A 11732-2024 tillsynsbegäran.docx", "A 11732-2024")</f>
        <v/>
      </c>
      <c r="AD17">
        <f>HYPERLINK("https://klasma.github.io/Logging_1281/tillsynsmail/A 11732-2024 tillsynsbegäran mail.docx", "A 11732-2024")</f>
        <v/>
      </c>
    </row>
    <row r="18" ht="15" customHeight="1">
      <c r="A18" t="inlineStr">
        <is>
          <t>A 4746-2025</t>
        </is>
      </c>
      <c r="B18" t="inlineStr">
        <is>
          <t>avverkningsanmälan</t>
        </is>
      </c>
      <c r="C18" t="inlineStr">
        <is>
          <t>Föryngringsavverkning</t>
        </is>
      </c>
      <c r="D18" s="1" t="n">
        <v>45688</v>
      </c>
      <c r="E18" s="1" t="n">
        <v>46322</v>
      </c>
      <c r="F18" t="inlineStr">
        <is>
          <t>SKÅNE LÄN</t>
        </is>
      </c>
      <c r="G18" t="inlineStr">
        <is>
          <t>LUND</t>
        </is>
      </c>
      <c r="I18" t="n">
        <v>1.1</v>
      </c>
      <c r="J18" t="n">
        <v>1</v>
      </c>
      <c r="K18" t="n">
        <v>0</v>
      </c>
      <c r="L18" t="n">
        <v>0</v>
      </c>
      <c r="M18" t="n">
        <v>0</v>
      </c>
      <c r="N18" t="n">
        <v>0</v>
      </c>
      <c r="O18" t="n">
        <v>0</v>
      </c>
      <c r="P18" t="n">
        <v>0</v>
      </c>
      <c r="Q18" t="n">
        <v>0</v>
      </c>
      <c r="R18" t="n">
        <v>0</v>
      </c>
      <c r="S18" t="n">
        <v>1</v>
      </c>
      <c r="T18" t="n">
        <v>1</v>
      </c>
      <c r="U18" t="n">
        <v>0</v>
      </c>
      <c r="V18" s="2" t="inlineStr">
        <is>
          <t>Svartvit flugsnappare</t>
        </is>
      </c>
      <c r="W18">
        <f>HYPERLINK("https://klasma.github.io/Logging_1281/artfynd/A 4746-2025 artfynd.xlsx", "A 4746-2025")</f>
        <v/>
      </c>
      <c r="X18">
        <f>HYPERLINK("https://klasma.github.io/Logging_1281/kartor/A 4746-2025 karta.png", "A 4746-2025")</f>
        <v/>
      </c>
      <c r="Y18">
        <f>HYPERLINK("https://klasma.github.io/Logging_1281/kartor_geotiff/A 4746-2025 georefererad karta.tif", "A 4746-2025")</f>
        <v/>
      </c>
      <c r="AA18">
        <f>HYPERLINK("https://klasma.github.io/Logging_1281/klagomål/A 4746-2025 FSC-klagomål.docx", "A 4746-2025")</f>
        <v/>
      </c>
      <c r="AB18">
        <f>HYPERLINK("https://klasma.github.io/Logging_1281/klagomålsmail/A 4746-2025 FSC-klagomål mail.docx", "A 4746-2025")</f>
        <v/>
      </c>
      <c r="AC18">
        <f>HYPERLINK("https://klasma.github.io/Logging_1281/tillsyn/A 4746-2025 tillsynsbegäran.docx", "A 4746-2025")</f>
        <v/>
      </c>
      <c r="AD18">
        <f>HYPERLINK("https://klasma.github.io/Logging_1281/tillsynsmail/A 4746-2025 tillsynsbegäran mail.docx", "A 4746-2025")</f>
        <v/>
      </c>
    </row>
    <row r="19" ht="15" customHeight="1">
      <c r="A19" t="inlineStr">
        <is>
          <t>A 29075-2023</t>
        </is>
      </c>
      <c r="B19" t="inlineStr">
        <is>
          <t>avverkningsanmälan</t>
        </is>
      </c>
      <c r="C19" t="inlineStr">
        <is>
          <t>Föryngringsavverkning</t>
        </is>
      </c>
      <c r="D19" s="1" t="n">
        <v>45104</v>
      </c>
      <c r="E19" s="1" t="n">
        <v>46322</v>
      </c>
      <c r="F19" t="inlineStr">
        <is>
          <t>SKÅNE LÄN</t>
        </is>
      </c>
      <c r="G19" t="inlineStr">
        <is>
          <t>LUND</t>
        </is>
      </c>
      <c r="I19" t="n">
        <v>0.7</v>
      </c>
      <c r="J19" t="n">
        <v>0</v>
      </c>
      <c r="K19" t="n">
        <v>0</v>
      </c>
      <c r="L19" t="n">
        <v>1</v>
      </c>
      <c r="M19" t="n">
        <v>0</v>
      </c>
      <c r="N19" t="n">
        <v>0</v>
      </c>
      <c r="O19" t="n">
        <v>0</v>
      </c>
      <c r="P19" t="n">
        <v>0</v>
      </c>
      <c r="Q19" t="n">
        <v>1</v>
      </c>
      <c r="R19" t="n">
        <v>0</v>
      </c>
      <c r="S19" t="n">
        <v>1</v>
      </c>
      <c r="T19" t="n">
        <v>1</v>
      </c>
      <c r="U19" t="n">
        <v>1</v>
      </c>
      <c r="V19" s="2" t="inlineStr">
        <is>
          <t>Bokvårtlav</t>
        </is>
      </c>
      <c r="W19">
        <f>HYPERLINK("https://klasma.github.io/Logging_1281/artfynd/A 29075-2023 artfynd.xlsx", "A 29075-2023")</f>
        <v/>
      </c>
      <c r="X19">
        <f>HYPERLINK("https://klasma.github.io/Logging_1281/kartor/A 29075-2023 karta.png", "A 29075-2023")</f>
        <v/>
      </c>
      <c r="Y19">
        <f>HYPERLINK("https://klasma.github.io/Logging_1281/kartor_geotiff/A 29075-2023 georefererad karta.tif", "A 29075-2023")</f>
        <v/>
      </c>
      <c r="AA19">
        <f>HYPERLINK("https://klasma.github.io/Logging_1281/klagomål/A 29075-2023 FSC-klagomål.docx", "A 29075-2023")</f>
        <v/>
      </c>
      <c r="AB19">
        <f>HYPERLINK("https://klasma.github.io/Logging_1281/klagomålsmail/A 29075-2023 FSC-klagomål mail.docx", "A 29075-2023")</f>
        <v/>
      </c>
      <c r="AC19">
        <f>HYPERLINK("https://klasma.github.io/Logging_1281/tillsyn/A 29075-2023 tillsynsbegäran.docx", "A 29075-2023")</f>
        <v/>
      </c>
      <c r="AD19">
        <f>HYPERLINK("https://klasma.github.io/Logging_1281/tillsynsmail/A 29075-2023 tillsynsbegäran mail.docx", "A 29075-2023")</f>
        <v/>
      </c>
    </row>
    <row r="20" ht="15" customHeight="1">
      <c r="A20" t="inlineStr">
        <is>
          <t>A 55145-2023</t>
        </is>
      </c>
      <c r="B20" t="inlineStr">
        <is>
          <t>avverkningsanmälan</t>
        </is>
      </c>
      <c r="C20" t="inlineStr">
        <is>
          <t>Avverkning för att bevara och utveckla /försöksver</t>
        </is>
      </c>
      <c r="D20" s="1" t="n">
        <v>45237</v>
      </c>
      <c r="E20" s="1" t="n">
        <v>46322</v>
      </c>
      <c r="F20" t="inlineStr">
        <is>
          <t>SKÅNE LÄN</t>
        </is>
      </c>
      <c r="G20" t="inlineStr">
        <is>
          <t>LUND</t>
        </is>
      </c>
      <c r="H20" t="inlineStr">
        <is>
          <t>Kommuner</t>
        </is>
      </c>
      <c r="I20" t="n">
        <v>4.5</v>
      </c>
      <c r="J20" t="n">
        <v>0</v>
      </c>
      <c r="K20" t="n">
        <v>1</v>
      </c>
      <c r="L20" t="n">
        <v>0</v>
      </c>
      <c r="M20" t="n">
        <v>0</v>
      </c>
      <c r="N20" t="n">
        <v>0</v>
      </c>
      <c r="O20" t="n">
        <v>0</v>
      </c>
      <c r="P20" t="n">
        <v>0</v>
      </c>
      <c r="Q20" t="n">
        <v>0</v>
      </c>
      <c r="R20" t="n">
        <v>0</v>
      </c>
      <c r="S20" t="n">
        <v>1</v>
      </c>
      <c r="T20" t="n">
        <v>1</v>
      </c>
      <c r="U20" t="n">
        <v>1</v>
      </c>
      <c r="V20" s="2" t="inlineStr">
        <is>
          <t>Grovticka</t>
        </is>
      </c>
      <c r="W20">
        <f>HYPERLINK("https://klasma.github.io/Logging_1281/artfynd/A 55145-2023 artfynd.xlsx", "A 55145-2023")</f>
        <v/>
      </c>
      <c r="X20">
        <f>HYPERLINK("https://klasma.github.io/Logging_1281/kartor/A 55145-2023 karta.png", "A 55145-2023")</f>
        <v/>
      </c>
      <c r="Y20">
        <f>HYPERLINK("https://klasma.github.io/Logging_1281/kartor_geotiff/A 55145-2023 georefererad karta.tif", "A 55145-2023")</f>
        <v/>
      </c>
      <c r="AA20">
        <f>HYPERLINK("https://klasma.github.io/Logging_1281/klagomål/A 55145-2023 FSC-klagomål.docx", "A 55145-2023")</f>
        <v/>
      </c>
      <c r="AB20">
        <f>HYPERLINK("https://klasma.github.io/Logging_1281/klagomålsmail/A 55145-2023 FSC-klagomål mail.docx", "A 55145-2023")</f>
        <v/>
      </c>
      <c r="AC20">
        <f>HYPERLINK("https://klasma.github.io/Logging_1281/tillsyn/A 55145-2023 tillsynsbegäran.docx", "A 55145-2023")</f>
        <v/>
      </c>
      <c r="AD20">
        <f>HYPERLINK("https://klasma.github.io/Logging_1281/tillsynsmail/A 55145-2023 tillsynsbegäran mail.docx", "A 55145-2023")</f>
        <v/>
      </c>
    </row>
    <row r="21" ht="15" customHeight="1">
      <c r="A21" t="inlineStr">
        <is>
          <t>S 2231-2022</t>
        </is>
      </c>
      <c r="B21" t="inlineStr">
        <is>
          <t>samrådsanmälan</t>
        </is>
      </c>
      <c r="C21" t="inlineStr">
        <is>
          <t>Åtgärd i nyckelbiotop</t>
        </is>
      </c>
      <c r="D21" s="1" t="n">
        <v>44679</v>
      </c>
      <c r="E21" s="1" t="n">
        <v>46322</v>
      </c>
      <c r="F21" t="inlineStr">
        <is>
          <t>SKÅNE LÄN</t>
        </is>
      </c>
      <c r="G21" t="inlineStr">
        <is>
          <t>LUND</t>
        </is>
      </c>
      <c r="I21" t="n">
        <v>0.2</v>
      </c>
      <c r="J21" t="n">
        <v>0</v>
      </c>
      <c r="K21" t="n">
        <v>0</v>
      </c>
      <c r="L21" t="n">
        <v>0</v>
      </c>
      <c r="M21" t="n">
        <v>1</v>
      </c>
      <c r="N21" t="n">
        <v>0</v>
      </c>
      <c r="O21" t="n">
        <v>0</v>
      </c>
      <c r="P21" t="n">
        <v>0</v>
      </c>
      <c r="Q21" t="n">
        <v>1</v>
      </c>
      <c r="R21" t="n">
        <v>1</v>
      </c>
      <c r="S21" t="n">
        <v>1</v>
      </c>
      <c r="T21" t="n">
        <v>1</v>
      </c>
      <c r="U21" t="n">
        <v>0</v>
      </c>
      <c r="V21" s="2" t="inlineStr">
        <is>
          <t>Bokblombock</t>
        </is>
      </c>
      <c r="W21">
        <f>HYPERLINK("https://klasma.github.io/Logging_1281/artfynd/S 2231-2022 artfynd.xlsx", "S 2231-2022")</f>
        <v/>
      </c>
      <c r="X21">
        <f>HYPERLINK("https://klasma.github.io/Logging_1281/kartor/S 2231-2022 karta.png", "S 2231-2022")</f>
        <v/>
      </c>
      <c r="Y21">
        <f>HYPERLINK("https://klasma.github.io/Logging_1281/kartor_geotiff/S 2231-2022 georefererad karta.tif", "S 2231-2022")</f>
        <v/>
      </c>
      <c r="AA21">
        <f>HYPERLINK("https://klasma.github.io/Logging_1281/klagomål/S 2231-2022 FSC-klagomål.docx", "S 2231-2022")</f>
        <v/>
      </c>
      <c r="AB21">
        <f>HYPERLINK("https://klasma.github.io/Logging_1281/klagomålsmail/S 2231-2022 FSC-klagomål mail.docx", "S 2231-2022")</f>
        <v/>
      </c>
      <c r="AC21">
        <f>HYPERLINK("https://klasma.github.io/Logging_1281/tillsyn/S 2231-2022 tillsynsbegäran.docx", "S 2231-2022")</f>
        <v/>
      </c>
      <c r="AD21">
        <f>HYPERLINK("https://klasma.github.io/Logging_1281/tillsynsmail/S 2231-2022 tillsynsbegäran mail.docx", "S 2231-2022")</f>
        <v/>
      </c>
    </row>
    <row r="22" ht="15" customHeight="1">
      <c r="A22" t="inlineStr">
        <is>
          <t>A 68005-2021</t>
        </is>
      </c>
      <c r="B22" t="inlineStr">
        <is>
          <t>avverkningsanmälan</t>
        </is>
      </c>
      <c r="C22" t="inlineStr">
        <is>
          <t>Föryngringsavverkning</t>
        </is>
      </c>
      <c r="D22" s="1" t="n">
        <v>44525</v>
      </c>
      <c r="E22" s="1" t="n">
        <v>46322</v>
      </c>
      <c r="F22" t="inlineStr">
        <is>
          <t>SKÅNE LÄN</t>
        </is>
      </c>
      <c r="G22" t="inlineStr">
        <is>
          <t>LUND</t>
        </is>
      </c>
      <c r="I22" t="n">
        <v>0.5</v>
      </c>
      <c r="J22" t="n">
        <v>0</v>
      </c>
      <c r="K22" t="n">
        <v>0</v>
      </c>
      <c r="L22" t="n">
        <v>0</v>
      </c>
      <c r="M22" t="n">
        <v>0</v>
      </c>
      <c r="N22" t="n">
        <v>0</v>
      </c>
      <c r="O22" t="n">
        <v>0</v>
      </c>
      <c r="P22" t="n">
        <v>0</v>
      </c>
      <c r="Q22" t="n">
        <v>0</v>
      </c>
      <c r="R22" t="n">
        <v>0</v>
      </c>
      <c r="S22" t="n">
        <v>0</v>
      </c>
      <c r="T22" t="n">
        <v>0</v>
      </c>
      <c r="U22" t="n">
        <v>0</v>
      </c>
      <c r="V22" s="2" t="inlineStr"/>
    </row>
    <row r="23" ht="15" customHeight="1">
      <c r="A23" t="inlineStr">
        <is>
          <t>A 44646-2023</t>
        </is>
      </c>
      <c r="B23" t="inlineStr">
        <is>
          <t>avverkningsanmälan</t>
        </is>
      </c>
      <c r="C23" t="inlineStr">
        <is>
          <t>Föryngringsavverkning</t>
        </is>
      </c>
      <c r="D23" s="1" t="n">
        <v>45189</v>
      </c>
      <c r="E23" s="1" t="n">
        <v>46322</v>
      </c>
      <c r="F23" t="inlineStr">
        <is>
          <t>SKÅNE LÄN</t>
        </is>
      </c>
      <c r="G23" t="inlineStr">
        <is>
          <t>LUND</t>
        </is>
      </c>
      <c r="I23" t="n">
        <v>3.2</v>
      </c>
      <c r="J23" t="n">
        <v>0</v>
      </c>
      <c r="K23" t="n">
        <v>0</v>
      </c>
      <c r="L23" t="n">
        <v>0</v>
      </c>
      <c r="M23" t="n">
        <v>0</v>
      </c>
      <c r="N23" t="n">
        <v>0</v>
      </c>
      <c r="O23" t="n">
        <v>0</v>
      </c>
      <c r="P23" t="n">
        <v>0</v>
      </c>
      <c r="Q23" t="n">
        <v>0</v>
      </c>
      <c r="R23" t="n">
        <v>0</v>
      </c>
      <c r="S23" t="n">
        <v>0</v>
      </c>
      <c r="T23" t="n">
        <v>0</v>
      </c>
      <c r="U23" t="n">
        <v>0</v>
      </c>
      <c r="V23" s="2" t="inlineStr"/>
    </row>
    <row r="24" ht="15" customHeight="1">
      <c r="A24" t="inlineStr">
        <is>
          <t>A 5059-2025</t>
        </is>
      </c>
      <c r="B24" t="inlineStr">
        <is>
          <t>avverkningsanmälan</t>
        </is>
      </c>
      <c r="C24" t="inlineStr">
        <is>
          <t>Föryngringsavverkning</t>
        </is>
      </c>
      <c r="D24" s="1" t="n">
        <v>45691</v>
      </c>
      <c r="E24" s="1" t="n">
        <v>46322</v>
      </c>
      <c r="F24" t="inlineStr">
        <is>
          <t>SKÅNE LÄN</t>
        </is>
      </c>
      <c r="G24" t="inlineStr">
        <is>
          <t>LUND</t>
        </is>
      </c>
      <c r="I24" t="n">
        <v>2.3</v>
      </c>
      <c r="J24" t="n">
        <v>0</v>
      </c>
      <c r="K24" t="n">
        <v>0</v>
      </c>
      <c r="L24" t="n">
        <v>0</v>
      </c>
      <c r="M24" t="n">
        <v>0</v>
      </c>
      <c r="N24" t="n">
        <v>0</v>
      </c>
      <c r="O24" t="n">
        <v>0</v>
      </c>
      <c r="P24" t="n">
        <v>0</v>
      </c>
      <c r="Q24" t="n">
        <v>0</v>
      </c>
      <c r="R24" t="n">
        <v>0</v>
      </c>
      <c r="S24" t="n">
        <v>0</v>
      </c>
      <c r="T24" t="n">
        <v>0</v>
      </c>
      <c r="U24" t="n">
        <v>0</v>
      </c>
      <c r="V24" s="2" t="inlineStr"/>
    </row>
    <row r="25" ht="15" customHeight="1">
      <c r="A25" t="inlineStr">
        <is>
          <t>A 58335-2025</t>
        </is>
      </c>
      <c r="B25" t="inlineStr">
        <is>
          <t>avverkningsanmälan</t>
        </is>
      </c>
      <c r="C25" t="inlineStr">
        <is>
          <t>Föryngringsavverkning</t>
        </is>
      </c>
      <c r="D25" s="1" t="n">
        <v>45985</v>
      </c>
      <c r="E25" s="1" t="n">
        <v>46322</v>
      </c>
      <c r="F25" t="inlineStr">
        <is>
          <t>SKÅNE LÄN</t>
        </is>
      </c>
      <c r="G25" t="inlineStr">
        <is>
          <t>LUND</t>
        </is>
      </c>
      <c r="I25" t="n">
        <v>2.5</v>
      </c>
      <c r="J25" t="n">
        <v>0</v>
      </c>
      <c r="K25" t="n">
        <v>0</v>
      </c>
      <c r="L25" t="n">
        <v>0</v>
      </c>
      <c r="M25" t="n">
        <v>0</v>
      </c>
      <c r="N25" t="n">
        <v>0</v>
      </c>
      <c r="O25" t="n">
        <v>0</v>
      </c>
      <c r="P25" t="n">
        <v>0</v>
      </c>
      <c r="Q25" t="n">
        <v>0</v>
      </c>
      <c r="R25" t="n">
        <v>0</v>
      </c>
      <c r="S25" t="n">
        <v>0</v>
      </c>
      <c r="T25" t="n">
        <v>0</v>
      </c>
      <c r="U25" t="n">
        <v>0</v>
      </c>
      <c r="V25" s="2" t="inlineStr"/>
    </row>
    <row r="26" ht="15" customHeight="1">
      <c r="A26" t="inlineStr">
        <is>
          <t>A 58337-2025</t>
        </is>
      </c>
      <c r="B26" t="inlineStr">
        <is>
          <t>avverkningsanmälan</t>
        </is>
      </c>
      <c r="C26" t="inlineStr">
        <is>
          <t>Föryngringsavverkning</t>
        </is>
      </c>
      <c r="D26" s="1" t="n">
        <v>45985</v>
      </c>
      <c r="E26" s="1" t="n">
        <v>46322</v>
      </c>
      <c r="F26" t="inlineStr">
        <is>
          <t>SKÅNE LÄN</t>
        </is>
      </c>
      <c r="G26" t="inlineStr">
        <is>
          <t>LUND</t>
        </is>
      </c>
      <c r="I26" t="n">
        <v>2</v>
      </c>
      <c r="J26" t="n">
        <v>0</v>
      </c>
      <c r="K26" t="n">
        <v>0</v>
      </c>
      <c r="L26" t="n">
        <v>0</v>
      </c>
      <c r="M26" t="n">
        <v>0</v>
      </c>
      <c r="N26" t="n">
        <v>0</v>
      </c>
      <c r="O26" t="n">
        <v>0</v>
      </c>
      <c r="P26" t="n">
        <v>0</v>
      </c>
      <c r="Q26" t="n">
        <v>0</v>
      </c>
      <c r="R26" t="n">
        <v>0</v>
      </c>
      <c r="S26" t="n">
        <v>0</v>
      </c>
      <c r="T26" t="n">
        <v>0</v>
      </c>
      <c r="U26" t="n">
        <v>0</v>
      </c>
      <c r="V26" s="2" t="inlineStr"/>
    </row>
    <row r="27" ht="15" customHeight="1">
      <c r="A27" t="inlineStr">
        <is>
          <t>A 28885-2022</t>
        </is>
      </c>
      <c r="B27" t="inlineStr">
        <is>
          <t>avverkningsanmälan</t>
        </is>
      </c>
      <c r="C27" t="inlineStr">
        <is>
          <t>Föryngringsavverkning</t>
        </is>
      </c>
      <c r="D27" s="1" t="n">
        <v>44749</v>
      </c>
      <c r="E27" s="1" t="n">
        <v>46322</v>
      </c>
      <c r="F27" t="inlineStr">
        <is>
          <t>SKÅNE LÄN</t>
        </is>
      </c>
      <c r="G27" t="inlineStr">
        <is>
          <t>LUND</t>
        </is>
      </c>
      <c r="I27" t="n">
        <v>2.4</v>
      </c>
      <c r="J27" t="n">
        <v>0</v>
      </c>
      <c r="K27" t="n">
        <v>0</v>
      </c>
      <c r="L27" t="n">
        <v>0</v>
      </c>
      <c r="M27" t="n">
        <v>0</v>
      </c>
      <c r="N27" t="n">
        <v>0</v>
      </c>
      <c r="O27" t="n">
        <v>0</v>
      </c>
      <c r="P27" t="n">
        <v>0</v>
      </c>
      <c r="Q27" t="n">
        <v>0</v>
      </c>
      <c r="R27" t="n">
        <v>0</v>
      </c>
      <c r="S27" t="n">
        <v>0</v>
      </c>
      <c r="T27" t="n">
        <v>0</v>
      </c>
      <c r="U27" t="n">
        <v>0</v>
      </c>
      <c r="V27" s="2" t="inlineStr"/>
    </row>
    <row r="28" ht="15" customHeight="1">
      <c r="A28" t="inlineStr">
        <is>
          <t>A 32972-2024</t>
        </is>
      </c>
      <c r="B28" t="inlineStr">
        <is>
          <t>avverkningsanmälan</t>
        </is>
      </c>
      <c r="C28" t="inlineStr">
        <is>
          <t>Föryngringsavverkning</t>
        </is>
      </c>
      <c r="D28" s="1" t="n">
        <v>45517</v>
      </c>
      <c r="E28" s="1" t="n">
        <v>46322</v>
      </c>
      <c r="F28" t="inlineStr">
        <is>
          <t>SKÅNE LÄN</t>
        </is>
      </c>
      <c r="G28" t="inlineStr">
        <is>
          <t>LUND</t>
        </is>
      </c>
      <c r="H28" t="inlineStr">
        <is>
          <t>Kommuner</t>
        </is>
      </c>
      <c r="I28" t="n">
        <v>20.7</v>
      </c>
      <c r="J28" t="n">
        <v>0</v>
      </c>
      <c r="K28" t="n">
        <v>0</v>
      </c>
      <c r="L28" t="n">
        <v>0</v>
      </c>
      <c r="M28" t="n">
        <v>0</v>
      </c>
      <c r="N28" t="n">
        <v>0</v>
      </c>
      <c r="O28" t="n">
        <v>0</v>
      </c>
      <c r="P28" t="n">
        <v>0</v>
      </c>
      <c r="Q28" t="n">
        <v>0</v>
      </c>
      <c r="R28" t="n">
        <v>0</v>
      </c>
      <c r="S28" t="n">
        <v>0</v>
      </c>
      <c r="T28" t="n">
        <v>0</v>
      </c>
      <c r="U28" t="n">
        <v>0</v>
      </c>
      <c r="V28" s="2" t="inlineStr"/>
    </row>
    <row r="29" ht="15" customHeight="1">
      <c r="A29" t="inlineStr">
        <is>
          <t>A 30506-2026</t>
        </is>
      </c>
      <c r="B29" t="inlineStr">
        <is>
          <t>avverkningsanmälan</t>
        </is>
      </c>
      <c r="C29" t="inlineStr">
        <is>
          <t>Föryngringsavverkning</t>
        </is>
      </c>
      <c r="D29" s="1" t="n">
        <v>46210</v>
      </c>
      <c r="E29" s="1" t="n">
        <v>46322</v>
      </c>
      <c r="F29" t="inlineStr">
        <is>
          <t>SKÅNE LÄN</t>
        </is>
      </c>
      <c r="G29" t="inlineStr">
        <is>
          <t>LUND</t>
        </is>
      </c>
      <c r="H29" t="inlineStr">
        <is>
          <t>Kommuner</t>
        </is>
      </c>
      <c r="I29" t="n">
        <v>6.6</v>
      </c>
      <c r="J29" t="n">
        <v>0</v>
      </c>
      <c r="K29" t="n">
        <v>0</v>
      </c>
      <c r="L29" t="n">
        <v>0</v>
      </c>
      <c r="M29" t="n">
        <v>0</v>
      </c>
      <c r="N29" t="n">
        <v>0</v>
      </c>
      <c r="O29" t="n">
        <v>0</v>
      </c>
      <c r="P29" t="n">
        <v>0</v>
      </c>
      <c r="Q29" t="n">
        <v>0</v>
      </c>
      <c r="R29" t="n">
        <v>0</v>
      </c>
      <c r="S29" t="n">
        <v>0</v>
      </c>
      <c r="T29" t="n">
        <v>0</v>
      </c>
      <c r="U29" t="n">
        <v>0</v>
      </c>
      <c r="V29" s="2" t="inlineStr"/>
    </row>
    <row r="30" ht="15" customHeight="1">
      <c r="A30" t="inlineStr">
        <is>
          <t>A 9889-2026</t>
        </is>
      </c>
      <c r="B30" t="inlineStr">
        <is>
          <t>avverkningsanmälan</t>
        </is>
      </c>
      <c r="C30" t="inlineStr">
        <is>
          <t>Föryngringsavverkning</t>
        </is>
      </c>
      <c r="D30" s="1" t="n">
        <v>46073</v>
      </c>
      <c r="E30" s="1" t="n">
        <v>46322</v>
      </c>
      <c r="F30" t="inlineStr">
        <is>
          <t>SKÅNE LÄN</t>
        </is>
      </c>
      <c r="G30" t="inlineStr">
        <is>
          <t>LUND</t>
        </is>
      </c>
      <c r="I30" t="n">
        <v>0.9</v>
      </c>
      <c r="J30" t="n">
        <v>0</v>
      </c>
      <c r="K30" t="n">
        <v>0</v>
      </c>
      <c r="L30" t="n">
        <v>0</v>
      </c>
      <c r="M30" t="n">
        <v>0</v>
      </c>
      <c r="N30" t="n">
        <v>0</v>
      </c>
      <c r="O30" t="n">
        <v>0</v>
      </c>
      <c r="P30" t="n">
        <v>0</v>
      </c>
      <c r="Q30" t="n">
        <v>0</v>
      </c>
      <c r="R30" t="n">
        <v>0</v>
      </c>
      <c r="S30" t="n">
        <v>0</v>
      </c>
      <c r="T30" t="n">
        <v>0</v>
      </c>
      <c r="U30" t="n">
        <v>0</v>
      </c>
      <c r="V30" s="2" t="inlineStr"/>
    </row>
    <row r="31" ht="15" customHeight="1">
      <c r="A31" t="inlineStr">
        <is>
          <t>A 45725-2022</t>
        </is>
      </c>
      <c r="B31" t="inlineStr">
        <is>
          <t>avverkningsanmälan</t>
        </is>
      </c>
      <c r="C31" t="inlineStr">
        <is>
          <t>Föryngringsavverkning</t>
        </is>
      </c>
      <c r="D31" s="1" t="n">
        <v>44846</v>
      </c>
      <c r="E31" s="1" t="n">
        <v>46322</v>
      </c>
      <c r="F31" t="inlineStr">
        <is>
          <t>SKÅNE LÄN</t>
        </is>
      </c>
      <c r="G31" t="inlineStr">
        <is>
          <t>LUND</t>
        </is>
      </c>
      <c r="I31" t="n">
        <v>1.2</v>
      </c>
      <c r="J31" t="n">
        <v>0</v>
      </c>
      <c r="K31" t="n">
        <v>0</v>
      </c>
      <c r="L31" t="n">
        <v>0</v>
      </c>
      <c r="M31" t="n">
        <v>0</v>
      </c>
      <c r="N31" t="n">
        <v>0</v>
      </c>
      <c r="O31" t="n">
        <v>0</v>
      </c>
      <c r="P31" t="n">
        <v>0</v>
      </c>
      <c r="Q31" t="n">
        <v>0</v>
      </c>
      <c r="R31" t="n">
        <v>0</v>
      </c>
      <c r="S31" t="n">
        <v>0</v>
      </c>
      <c r="T31" t="n">
        <v>0</v>
      </c>
      <c r="U31" t="n">
        <v>0</v>
      </c>
      <c r="V31" s="2" t="inlineStr"/>
    </row>
    <row r="32" ht="15" customHeight="1">
      <c r="A32" t="inlineStr">
        <is>
          <t>A 21767-2023</t>
        </is>
      </c>
      <c r="B32" t="inlineStr">
        <is>
          <t>avverkningsanmälan</t>
        </is>
      </c>
      <c r="C32" t="inlineStr">
        <is>
          <t>Föryngringsavverkning</t>
        </is>
      </c>
      <c r="D32" s="1" t="n">
        <v>45065</v>
      </c>
      <c r="E32" s="1" t="n">
        <v>46322</v>
      </c>
      <c r="F32" t="inlineStr">
        <is>
          <t>SKÅNE LÄN</t>
        </is>
      </c>
      <c r="G32" t="inlineStr">
        <is>
          <t>LUND</t>
        </is>
      </c>
      <c r="I32" t="n">
        <v>1.9</v>
      </c>
      <c r="J32" t="n">
        <v>0</v>
      </c>
      <c r="K32" t="n">
        <v>0</v>
      </c>
      <c r="L32" t="n">
        <v>0</v>
      </c>
      <c r="M32" t="n">
        <v>0</v>
      </c>
      <c r="N32" t="n">
        <v>0</v>
      </c>
      <c r="O32" t="n">
        <v>0</v>
      </c>
      <c r="P32" t="n">
        <v>0</v>
      </c>
      <c r="Q32" t="n">
        <v>0</v>
      </c>
      <c r="R32" t="n">
        <v>0</v>
      </c>
      <c r="S32" t="n">
        <v>0</v>
      </c>
      <c r="T32" t="n">
        <v>0</v>
      </c>
      <c r="U32" t="n">
        <v>0</v>
      </c>
      <c r="V32" s="2" t="inlineStr"/>
    </row>
    <row r="33" ht="15" customHeight="1">
      <c r="A33" t="inlineStr">
        <is>
          <t>A 33019-2026</t>
        </is>
      </c>
      <c r="B33" t="inlineStr">
        <is>
          <t>avverkningsanmälan</t>
        </is>
      </c>
      <c r="C33" t="inlineStr">
        <is>
          <t>Föryngringsavverkning</t>
        </is>
      </c>
      <c r="D33" s="1" t="n">
        <v>46244</v>
      </c>
      <c r="E33" s="1" t="n">
        <v>46322</v>
      </c>
      <c r="F33" t="inlineStr">
        <is>
          <t>SKÅNE LÄN</t>
        </is>
      </c>
      <c r="G33" t="inlineStr">
        <is>
          <t>LUND</t>
        </is>
      </c>
      <c r="I33" t="n">
        <v>1</v>
      </c>
      <c r="J33" t="n">
        <v>0</v>
      </c>
      <c r="K33" t="n">
        <v>0</v>
      </c>
      <c r="L33" t="n">
        <v>0</v>
      </c>
      <c r="M33" t="n">
        <v>0</v>
      </c>
      <c r="N33" t="n">
        <v>0</v>
      </c>
      <c r="O33" t="n">
        <v>0</v>
      </c>
      <c r="P33" t="n">
        <v>0</v>
      </c>
      <c r="Q33" t="n">
        <v>0</v>
      </c>
      <c r="R33" t="n">
        <v>0</v>
      </c>
      <c r="S33" t="n">
        <v>0</v>
      </c>
      <c r="T33" t="n">
        <v>0</v>
      </c>
      <c r="U33" t="n">
        <v>0</v>
      </c>
      <c r="V33" s="2" t="inlineStr"/>
    </row>
    <row r="34" ht="15" customHeight="1">
      <c r="A34" t="inlineStr">
        <is>
          <t>A 20277-2026</t>
        </is>
      </c>
      <c r="B34" t="inlineStr">
        <is>
          <t>avverkningsanmälan</t>
        </is>
      </c>
      <c r="C34" t="inlineStr">
        <is>
          <t>Föryngringsavverkning</t>
        </is>
      </c>
      <c r="D34" s="1" t="n">
        <v>46139</v>
      </c>
      <c r="E34" s="1" t="n">
        <v>46322</v>
      </c>
      <c r="F34" t="inlineStr">
        <is>
          <t>SKÅNE LÄN</t>
        </is>
      </c>
      <c r="G34" t="inlineStr">
        <is>
          <t>LUND</t>
        </is>
      </c>
      <c r="I34" t="n">
        <v>1.6</v>
      </c>
      <c r="J34" t="n">
        <v>0</v>
      </c>
      <c r="K34" t="n">
        <v>0</v>
      </c>
      <c r="L34" t="n">
        <v>0</v>
      </c>
      <c r="M34" t="n">
        <v>0</v>
      </c>
      <c r="N34" t="n">
        <v>0</v>
      </c>
      <c r="O34" t="n">
        <v>0</v>
      </c>
      <c r="P34" t="n">
        <v>0</v>
      </c>
      <c r="Q34" t="n">
        <v>0</v>
      </c>
      <c r="R34" t="n">
        <v>0</v>
      </c>
      <c r="S34" t="n">
        <v>0</v>
      </c>
      <c r="T34" t="n">
        <v>0</v>
      </c>
      <c r="U34" t="n">
        <v>0</v>
      </c>
      <c r="V34" s="2" t="inlineStr"/>
    </row>
    <row r="35" ht="15" customHeight="1">
      <c r="A35" t="inlineStr">
        <is>
          <t>A 17519-2023</t>
        </is>
      </c>
      <c r="B35" t="inlineStr">
        <is>
          <t>avverkningsanmälan</t>
        </is>
      </c>
      <c r="C35" t="inlineStr">
        <is>
          <t>Avverkning för annat ändamål</t>
        </is>
      </c>
      <c r="D35" s="1" t="n">
        <v>45036</v>
      </c>
      <c r="E35" s="1" t="n">
        <v>46322</v>
      </c>
      <c r="F35" t="inlineStr">
        <is>
          <t>SKÅNE LÄN</t>
        </is>
      </c>
      <c r="G35" t="inlineStr">
        <is>
          <t>LUND</t>
        </is>
      </c>
      <c r="I35" t="n">
        <v>0.5</v>
      </c>
      <c r="J35" t="n">
        <v>0</v>
      </c>
      <c r="K35" t="n">
        <v>0</v>
      </c>
      <c r="L35" t="n">
        <v>0</v>
      </c>
      <c r="M35" t="n">
        <v>0</v>
      </c>
      <c r="N35" t="n">
        <v>0</v>
      </c>
      <c r="O35" t="n">
        <v>0</v>
      </c>
      <c r="P35" t="n">
        <v>0</v>
      </c>
      <c r="Q35" t="n">
        <v>0</v>
      </c>
      <c r="R35" t="n">
        <v>0</v>
      </c>
      <c r="S35" t="n">
        <v>0</v>
      </c>
      <c r="T35" t="n">
        <v>0</v>
      </c>
      <c r="U35" t="n">
        <v>0</v>
      </c>
      <c r="V35" s="2" t="inlineStr"/>
    </row>
    <row r="36" ht="15" customHeight="1">
      <c r="A36" t="inlineStr">
        <is>
          <t>A 16499-2025</t>
        </is>
      </c>
      <c r="B36" t="inlineStr">
        <is>
          <t>avverkningsanmälan</t>
        </is>
      </c>
      <c r="C36" t="inlineStr">
        <is>
          <t>Föryngringsavverkning</t>
        </is>
      </c>
      <c r="D36" s="1" t="n">
        <v>45751</v>
      </c>
      <c r="E36" s="1" t="n">
        <v>46322</v>
      </c>
      <c r="F36" t="inlineStr">
        <is>
          <t>SKÅNE LÄN</t>
        </is>
      </c>
      <c r="G36" t="inlineStr">
        <is>
          <t>LUND</t>
        </is>
      </c>
      <c r="I36" t="n">
        <v>0.5</v>
      </c>
      <c r="J36" t="n">
        <v>0</v>
      </c>
      <c r="K36" t="n">
        <v>0</v>
      </c>
      <c r="L36" t="n">
        <v>0</v>
      </c>
      <c r="M36" t="n">
        <v>0</v>
      </c>
      <c r="N36" t="n">
        <v>0</v>
      </c>
      <c r="O36" t="n">
        <v>0</v>
      </c>
      <c r="P36" t="n">
        <v>0</v>
      </c>
      <c r="Q36" t="n">
        <v>0</v>
      </c>
      <c r="R36" t="n">
        <v>0</v>
      </c>
      <c r="S36" t="n">
        <v>0</v>
      </c>
      <c r="T36" t="n">
        <v>0</v>
      </c>
      <c r="U36" t="n">
        <v>0</v>
      </c>
      <c r="V36" s="2" t="inlineStr"/>
    </row>
    <row r="37" ht="15" customHeight="1">
      <c r="A37" t="inlineStr">
        <is>
          <t>A 59918-2022</t>
        </is>
      </c>
      <c r="B37" t="inlineStr">
        <is>
          <t>avverkningsanmälan</t>
        </is>
      </c>
      <c r="C37" t="inlineStr">
        <is>
          <t>Föryngringsavverkning</t>
        </is>
      </c>
      <c r="D37" s="1" t="n">
        <v>44909</v>
      </c>
      <c r="E37" s="1" t="n">
        <v>46322</v>
      </c>
      <c r="F37" t="inlineStr">
        <is>
          <t>SKÅNE LÄN</t>
        </is>
      </c>
      <c r="G37" t="inlineStr">
        <is>
          <t>LUND</t>
        </is>
      </c>
      <c r="I37" t="n">
        <v>1.6</v>
      </c>
      <c r="J37" t="n">
        <v>0</v>
      </c>
      <c r="K37" t="n">
        <v>0</v>
      </c>
      <c r="L37" t="n">
        <v>0</v>
      </c>
      <c r="M37" t="n">
        <v>0</v>
      </c>
      <c r="N37" t="n">
        <v>0</v>
      </c>
      <c r="O37" t="n">
        <v>0</v>
      </c>
      <c r="P37" t="n">
        <v>0</v>
      </c>
      <c r="Q37" t="n">
        <v>0</v>
      </c>
      <c r="R37" t="n">
        <v>0</v>
      </c>
      <c r="S37" t="n">
        <v>0</v>
      </c>
      <c r="T37" t="n">
        <v>0</v>
      </c>
      <c r="U37" t="n">
        <v>0</v>
      </c>
      <c r="V37" s="2" t="inlineStr"/>
    </row>
    <row r="38" ht="15" customHeight="1">
      <c r="A38" t="inlineStr">
        <is>
          <t>A 13754-2022</t>
        </is>
      </c>
      <c r="B38" t="inlineStr">
        <is>
          <t>avverkningsanmälan</t>
        </is>
      </c>
      <c r="C38" t="inlineStr">
        <is>
          <t>Föryngringsavverkning</t>
        </is>
      </c>
      <c r="D38" s="1" t="n">
        <v>44649</v>
      </c>
      <c r="E38" s="1" t="n">
        <v>46322</v>
      </c>
      <c r="F38" t="inlineStr">
        <is>
          <t>SKÅNE LÄN</t>
        </is>
      </c>
      <c r="G38" t="inlineStr">
        <is>
          <t>LUND</t>
        </is>
      </c>
      <c r="I38" t="n">
        <v>2</v>
      </c>
      <c r="J38" t="n">
        <v>0</v>
      </c>
      <c r="K38" t="n">
        <v>0</v>
      </c>
      <c r="L38" t="n">
        <v>0</v>
      </c>
      <c r="M38" t="n">
        <v>0</v>
      </c>
      <c r="N38" t="n">
        <v>0</v>
      </c>
      <c r="O38" t="n">
        <v>0</v>
      </c>
      <c r="P38" t="n">
        <v>0</v>
      </c>
      <c r="Q38" t="n">
        <v>0</v>
      </c>
      <c r="R38" t="n">
        <v>0</v>
      </c>
      <c r="S38" t="n">
        <v>0</v>
      </c>
      <c r="T38" t="n">
        <v>0</v>
      </c>
      <c r="U38" t="n">
        <v>0</v>
      </c>
      <c r="V38" s="2" t="inlineStr"/>
    </row>
    <row r="39" ht="15" customHeight="1">
      <c r="A39" t="inlineStr">
        <is>
          <t>A 31773-2023</t>
        </is>
      </c>
      <c r="B39" t="inlineStr">
        <is>
          <t>avverkningsanmälan</t>
        </is>
      </c>
      <c r="C39" t="inlineStr">
        <is>
          <t>Föryngringsavverkning</t>
        </is>
      </c>
      <c r="D39" s="1" t="n">
        <v>45118</v>
      </c>
      <c r="E39" s="1" t="n">
        <v>46322</v>
      </c>
      <c r="F39" t="inlineStr">
        <is>
          <t>SKÅNE LÄN</t>
        </is>
      </c>
      <c r="G39" t="inlineStr">
        <is>
          <t>LUND</t>
        </is>
      </c>
      <c r="H39" t="inlineStr">
        <is>
          <t>Kommuner</t>
        </is>
      </c>
      <c r="I39" t="n">
        <v>0.8</v>
      </c>
      <c r="J39" t="n">
        <v>0</v>
      </c>
      <c r="K39" t="n">
        <v>0</v>
      </c>
      <c r="L39" t="n">
        <v>0</v>
      </c>
      <c r="M39" t="n">
        <v>0</v>
      </c>
      <c r="N39" t="n">
        <v>0</v>
      </c>
      <c r="O39" t="n">
        <v>0</v>
      </c>
      <c r="P39" t="n">
        <v>0</v>
      </c>
      <c r="Q39" t="n">
        <v>0</v>
      </c>
      <c r="R39" t="n">
        <v>0</v>
      </c>
      <c r="S39" t="n">
        <v>0</v>
      </c>
      <c r="T39" t="n">
        <v>0</v>
      </c>
      <c r="U39" t="n">
        <v>0</v>
      </c>
      <c r="V39" s="2" t="inlineStr"/>
    </row>
    <row r="40" ht="15" customHeight="1">
      <c r="A40" t="inlineStr">
        <is>
          <t>A 29083-2023</t>
        </is>
      </c>
      <c r="B40" t="inlineStr">
        <is>
          <t>avverkningsanmälan</t>
        </is>
      </c>
      <c r="C40" t="inlineStr">
        <is>
          <t>Föryngringsavverkning</t>
        </is>
      </c>
      <c r="D40" s="1" t="n">
        <v>45105</v>
      </c>
      <c r="E40" s="1" t="n">
        <v>46322</v>
      </c>
      <c r="F40" t="inlineStr">
        <is>
          <t>SKÅNE LÄN</t>
        </is>
      </c>
      <c r="G40" t="inlineStr">
        <is>
          <t>LUND</t>
        </is>
      </c>
      <c r="I40" t="n">
        <v>0.5</v>
      </c>
      <c r="J40" t="n">
        <v>0</v>
      </c>
      <c r="K40" t="n">
        <v>0</v>
      </c>
      <c r="L40" t="n">
        <v>0</v>
      </c>
      <c r="M40" t="n">
        <v>0</v>
      </c>
      <c r="N40" t="n">
        <v>0</v>
      </c>
      <c r="O40" t="n">
        <v>0</v>
      </c>
      <c r="P40" t="n">
        <v>0</v>
      </c>
      <c r="Q40" t="n">
        <v>0</v>
      </c>
      <c r="R40" t="n">
        <v>0</v>
      </c>
      <c r="S40" t="n">
        <v>0</v>
      </c>
      <c r="T40" t="n">
        <v>0</v>
      </c>
      <c r="U40" t="n">
        <v>0</v>
      </c>
      <c r="V40" s="2" t="inlineStr"/>
    </row>
    <row r="41" ht="15" customHeight="1">
      <c r="A41" t="inlineStr">
        <is>
          <t>A 49297-2023</t>
        </is>
      </c>
      <c r="B41" t="inlineStr">
        <is>
          <t>avverkningsanmälan</t>
        </is>
      </c>
      <c r="C41" t="inlineStr">
        <is>
          <t>Föryngringsavverkning</t>
        </is>
      </c>
      <c r="D41" s="1" t="n">
        <v>45210</v>
      </c>
      <c r="E41" s="1" t="n">
        <v>46322</v>
      </c>
      <c r="F41" t="inlineStr">
        <is>
          <t>SKÅNE LÄN</t>
        </is>
      </c>
      <c r="G41" t="inlineStr">
        <is>
          <t>LUND</t>
        </is>
      </c>
      <c r="I41" t="n">
        <v>1</v>
      </c>
      <c r="J41" t="n">
        <v>0</v>
      </c>
      <c r="K41" t="n">
        <v>0</v>
      </c>
      <c r="L41" t="n">
        <v>0</v>
      </c>
      <c r="M41" t="n">
        <v>0</v>
      </c>
      <c r="N41" t="n">
        <v>0</v>
      </c>
      <c r="O41" t="n">
        <v>0</v>
      </c>
      <c r="P41" t="n">
        <v>0</v>
      </c>
      <c r="Q41" t="n">
        <v>0</v>
      </c>
      <c r="R41" t="n">
        <v>0</v>
      </c>
      <c r="S41" t="n">
        <v>0</v>
      </c>
      <c r="T41" t="n">
        <v>0</v>
      </c>
      <c r="U41" t="n">
        <v>0</v>
      </c>
      <c r="V41" s="2" t="inlineStr"/>
    </row>
    <row r="42" ht="15" customHeight="1">
      <c r="A42" t="inlineStr">
        <is>
          <t>S 311-2025</t>
        </is>
      </c>
      <c r="B42" t="inlineStr">
        <is>
          <t>samrådsanmälan</t>
        </is>
      </c>
      <c r="C42" t="inlineStr">
        <is>
          <t>Askåterföring</t>
        </is>
      </c>
      <c r="D42" s="1" t="n">
        <v>45688</v>
      </c>
      <c r="E42" s="1" t="n">
        <v>46322</v>
      </c>
      <c r="F42" t="inlineStr">
        <is>
          <t>SKÅNE LÄN</t>
        </is>
      </c>
      <c r="G42" t="inlineStr">
        <is>
          <t>LUND</t>
        </is>
      </c>
      <c r="I42" t="n">
        <v>40.1</v>
      </c>
      <c r="J42" t="n">
        <v>0</v>
      </c>
      <c r="K42" t="n">
        <v>0</v>
      </c>
      <c r="L42" t="n">
        <v>0</v>
      </c>
      <c r="M42" t="n">
        <v>0</v>
      </c>
      <c r="N42" t="n">
        <v>0</v>
      </c>
      <c r="O42" t="n">
        <v>0</v>
      </c>
      <c r="P42" t="n">
        <v>0</v>
      </c>
      <c r="Q42" t="n">
        <v>0</v>
      </c>
      <c r="R42" t="n">
        <v>0</v>
      </c>
      <c r="S42" t="n">
        <v>0</v>
      </c>
      <c r="T42" t="n">
        <v>0</v>
      </c>
      <c r="U42" t="n">
        <v>0</v>
      </c>
      <c r="V42" s="2" t="inlineStr"/>
    </row>
    <row r="43">
      <c r="A43" t="inlineStr">
        <is>
          <t>S 1991-2026</t>
        </is>
      </c>
      <c r="B43" t="inlineStr">
        <is>
          <t>samrådsanmälan</t>
        </is>
      </c>
      <c r="C43" t="inlineStr">
        <is>
          <t>Askåterföring</t>
        </is>
      </c>
      <c r="D43" s="1" t="n">
        <v>46213</v>
      </c>
      <c r="E43" s="1" t="n">
        <v>46322</v>
      </c>
      <c r="F43" t="inlineStr">
        <is>
          <t>SKÅNE LÄN</t>
        </is>
      </c>
      <c r="G43" t="inlineStr">
        <is>
          <t>LUND</t>
        </is>
      </c>
      <c r="I43" t="n">
        <v>10.2</v>
      </c>
      <c r="J43" t="n">
        <v>0</v>
      </c>
      <c r="K43" t="n">
        <v>0</v>
      </c>
      <c r="L43" t="n">
        <v>0</v>
      </c>
      <c r="M43" t="n">
        <v>0</v>
      </c>
      <c r="N43" t="n">
        <v>0</v>
      </c>
      <c r="O43" t="n">
        <v>0</v>
      </c>
      <c r="P43" t="n">
        <v>0</v>
      </c>
      <c r="Q43" t="n">
        <v>0</v>
      </c>
      <c r="R43" t="n">
        <v>0</v>
      </c>
      <c r="S43" t="n">
        <v>0</v>
      </c>
      <c r="T43" t="n">
        <v>0</v>
      </c>
      <c r="U43" t="n">
        <v>0</v>
      </c>
      <c r="V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2026-10-27T03:12:59Z</dcterms:created>
  <dcterms:modified xmlns:dcterms="http://purl.org/dc/terms/" xmlns:xsi="http://www.w3.org/2001/XMLSchema-instance" xsi:type="dcterms:W3CDTF">2026-10-27T03:13:00Z</dcterms:modified>
</cp:coreProperties>
</file>