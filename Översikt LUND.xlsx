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46093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46093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46093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46093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46093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4746-2025</t>
        </is>
      </c>
      <c r="B7" s="1" t="n">
        <v>45688.46011574074</v>
      </c>
      <c r="C7" s="1" t="n">
        <v>46093</v>
      </c>
      <c r="D7" t="inlineStr">
        <is>
          <t>SKÅNE LÄN</t>
        </is>
      </c>
      <c r="E7" t="inlineStr">
        <is>
          <t>LUND</t>
        </is>
      </c>
      <c r="G7" t="n">
        <v>1.1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HYPERLINK("https://klasma.github.io/Logging_1281/artfynd/A 4746-2025 artfynd.xlsx", "A 4746-2025")</f>
        <v/>
      </c>
      <c r="T7">
        <f>HYPERLINK("https://klasma.github.io/Logging_1281/kartor/A 4746-2025 karta.png", "A 4746-2025")</f>
        <v/>
      </c>
      <c r="V7">
        <f>HYPERLINK("https://klasma.github.io/Logging_1281/klagomål/A 4746-2025 FSC-klagomål.docx", "A 4746-2025")</f>
        <v/>
      </c>
      <c r="W7">
        <f>HYPERLINK("https://klasma.github.io/Logging_1281/klagomålsmail/A 4746-2025 FSC-klagomål mail.docx", "A 4746-2025")</f>
        <v/>
      </c>
      <c r="X7">
        <f>HYPERLINK("https://klasma.github.io/Logging_1281/tillsyn/A 4746-2025 tillsynsbegäran.docx", "A 4746-2025")</f>
        <v/>
      </c>
      <c r="Y7">
        <f>HYPERLINK("https://klasma.github.io/Logging_1281/tillsynsmail/A 4746-2025 tillsynsbegäran mail.docx", "A 4746-2025")</f>
        <v/>
      </c>
      <c r="Z7">
        <f>HYPERLINK("https://klasma.github.io/Logging_1281/fåglar/A 4746-2025 prioriterade fågelarter.docx", "A 4746-2025")</f>
        <v/>
      </c>
    </row>
    <row r="8" ht="15" customHeight="1">
      <c r="A8" t="inlineStr">
        <is>
          <t>A 4816-2025</t>
        </is>
      </c>
      <c r="B8" s="1" t="n">
        <v>45688.62052083333</v>
      </c>
      <c r="C8" s="1" t="n">
        <v>46093</v>
      </c>
      <c r="D8" t="inlineStr">
        <is>
          <t>SKÅNE LÄN</t>
        </is>
      </c>
      <c r="E8" t="inlineStr">
        <is>
          <t>LUND</t>
        </is>
      </c>
      <c r="G8" t="n">
        <v>7.7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HYPERLINK("https://klasma.github.io/Logging_1281/artfynd/A 4816-2025 artfynd.xlsx", "A 4816-2025")</f>
        <v/>
      </c>
      <c r="T8">
        <f>HYPERLINK("https://klasma.github.io/Logging_1281/kartor/A 4816-2025 karta.png", "A 4816-2025")</f>
        <v/>
      </c>
      <c r="V8">
        <f>HYPERLINK("https://klasma.github.io/Logging_1281/klagomål/A 4816-2025 FSC-klagomål.docx", "A 4816-2025")</f>
        <v/>
      </c>
      <c r="W8">
        <f>HYPERLINK("https://klasma.github.io/Logging_1281/klagomålsmail/A 4816-2025 FSC-klagomål mail.docx", "A 4816-2025")</f>
        <v/>
      </c>
      <c r="X8">
        <f>HYPERLINK("https://klasma.github.io/Logging_1281/tillsyn/A 4816-2025 tillsynsbegäran.docx", "A 4816-2025")</f>
        <v/>
      </c>
      <c r="Y8">
        <f>HYPERLINK("https://klasma.github.io/Logging_1281/tillsynsmail/A 4816-2025 tillsynsbegäran mail.docx", "A 4816-2025")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46093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46093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46093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46093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46093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46093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46093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46093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46093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46093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46093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46093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21767-2023</t>
        </is>
      </c>
      <c r="B21" s="1" t="n">
        <v>45065</v>
      </c>
      <c r="C21" s="1" t="n">
        <v>46093</v>
      </c>
      <c r="D21" t="inlineStr">
        <is>
          <t>SKÅNE LÄN</t>
        </is>
      </c>
      <c r="E21" t="inlineStr">
        <is>
          <t>LUND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46093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34484-2025</t>
        </is>
      </c>
      <c r="B23" s="1" t="n">
        <v>45847.39517361111</v>
      </c>
      <c r="C23" s="1" t="n">
        <v>46093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46093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31773-2023</t>
        </is>
      </c>
      <c r="B25" s="1" t="n">
        <v>45118</v>
      </c>
      <c r="C25" s="1" t="n">
        <v>46093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46093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13754-2022</t>
        </is>
      </c>
      <c r="B27" s="1" t="n">
        <v>44649</v>
      </c>
      <c r="C27" s="1" t="n">
        <v>46093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46093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46093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46093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46093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46093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16499-2025</t>
        </is>
      </c>
      <c r="B33" s="1" t="n">
        <v>45751.60246527778</v>
      </c>
      <c r="C33" s="1" t="n">
        <v>46093</v>
      </c>
      <c r="D33" t="inlineStr">
        <is>
          <t>SKÅNE LÄN</t>
        </is>
      </c>
      <c r="E33" t="inlineStr">
        <is>
          <t>LUND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59733-2023</t>
        </is>
      </c>
      <c r="B34" s="1" t="n">
        <v>45257</v>
      </c>
      <c r="C34" s="1" t="n">
        <v>46093</v>
      </c>
      <c r="D34" t="inlineStr">
        <is>
          <t>SKÅNE LÄN</t>
        </is>
      </c>
      <c r="E34" t="inlineStr">
        <is>
          <t>LUND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55158-2023</t>
        </is>
      </c>
      <c r="B35" s="1" t="n">
        <v>45237</v>
      </c>
      <c r="C35" s="1" t="n">
        <v>46093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46093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14058-2025</t>
        </is>
      </c>
      <c r="B37" s="1" t="n">
        <v>45740.40390046296</v>
      </c>
      <c r="C37" s="1" t="n">
        <v>46093</v>
      </c>
      <c r="D37" t="inlineStr">
        <is>
          <t>SKÅNE LÄN</t>
        </is>
      </c>
      <c r="E37" t="inlineStr">
        <is>
          <t>LUND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44646-2023</t>
        </is>
      </c>
      <c r="B38" s="1" t="n">
        <v>45189</v>
      </c>
      <c r="C38" s="1" t="n">
        <v>46093</v>
      </c>
      <c r="D38" t="inlineStr">
        <is>
          <t>SKÅNE LÄN</t>
        </is>
      </c>
      <c r="E38" t="inlineStr">
        <is>
          <t>LUND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15984-2025</t>
        </is>
      </c>
      <c r="B39" s="1" t="n">
        <v>45749</v>
      </c>
      <c r="C39" s="1" t="n">
        <v>46093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46093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58337-2025</t>
        </is>
      </c>
      <c r="B41" s="1" t="n">
        <v>45985.48895833334</v>
      </c>
      <c r="C41" s="1" t="n">
        <v>46093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58488-2025</t>
        </is>
      </c>
      <c r="B42" s="1" t="n">
        <v>45985.66210648148</v>
      </c>
      <c r="C42" s="1" t="n">
        <v>46093</v>
      </c>
      <c r="D42" t="inlineStr">
        <is>
          <t>SKÅNE LÄN</t>
        </is>
      </c>
      <c r="E42" t="inlineStr">
        <is>
          <t>LUND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58335-2025</t>
        </is>
      </c>
      <c r="B43" s="1" t="n">
        <v>45985.48332175926</v>
      </c>
      <c r="C43" s="1" t="n">
        <v>46093</v>
      </c>
      <c r="D43" t="inlineStr">
        <is>
          <t>SKÅNE LÄN</t>
        </is>
      </c>
      <c r="E43" t="inlineStr">
        <is>
          <t>LUND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46093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59206-2025</t>
        </is>
      </c>
      <c r="B45" s="1" t="n">
        <v>45988.60881944445</v>
      </c>
      <c r="C45" s="1" t="n">
        <v>46093</v>
      </c>
      <c r="D45" t="inlineStr">
        <is>
          <t>SKÅNE LÄN</t>
        </is>
      </c>
      <c r="E45" t="inlineStr">
        <is>
          <t>LUND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49297-2023</t>
        </is>
      </c>
      <c r="B46" s="1" t="n">
        <v>45210</v>
      </c>
      <c r="C46" s="1" t="n">
        <v>46093</v>
      </c>
      <c r="D46" t="inlineStr">
        <is>
          <t>SKÅNE LÄN</t>
        </is>
      </c>
      <c r="E46" t="inlineStr">
        <is>
          <t>LUND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17519-2023</t>
        </is>
      </c>
      <c r="B47" s="1" t="n">
        <v>45036</v>
      </c>
      <c r="C47" s="1" t="n">
        <v>46093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9889-2026</t>
        </is>
      </c>
      <c r="B48" s="1" t="n">
        <v>46073.368125</v>
      </c>
      <c r="C48" s="1" t="n">
        <v>46093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20057-2025</t>
        </is>
      </c>
      <c r="B49" s="1" t="n">
        <v>45772</v>
      </c>
      <c r="C49" s="1" t="n">
        <v>46093</v>
      </c>
      <c r="D49" t="inlineStr">
        <is>
          <t>SKÅNE LÄN</t>
        </is>
      </c>
      <c r="E49" t="inlineStr">
        <is>
          <t>LUND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29247-2025</t>
        </is>
      </c>
      <c r="B50" s="1" t="n">
        <v>45824</v>
      </c>
      <c r="C50" s="1" t="n">
        <v>46093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2026-03-12T11:17:20Z</dcterms:created>
  <dcterms:modified xmlns:dcterms="http://purl.org/dc/terms/" xmlns:xsi="http://www.w3.org/2001/XMLSchema-instance" xsi:type="dcterms:W3CDTF">2026-03-12T11:17:20Z</dcterms:modified>
</cp:coreProperties>
</file>