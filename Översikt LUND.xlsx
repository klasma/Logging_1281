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46265</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46265</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46265</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31764-2023</t>
        </is>
      </c>
      <c r="B5" t="inlineStr">
        <is>
          <t>avverkningsanmälan</t>
        </is>
      </c>
      <c r="C5" t="inlineStr">
        <is>
          <t>Föryngringsavverkning</t>
        </is>
      </c>
      <c r="D5" s="1" t="n">
        <v>45118</v>
      </c>
      <c r="E5" s="1" t="n">
        <v>46265</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46265</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46265</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46265</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46265</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46265</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46265</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46265</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46265</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46265</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59227-2025</t>
        </is>
      </c>
      <c r="B15" t="inlineStr">
        <is>
          <t>avverkningsanmälan</t>
        </is>
      </c>
      <c r="C15" t="inlineStr">
        <is>
          <t>Föryngringsavverkning</t>
        </is>
      </c>
      <c r="D15" s="1" t="n">
        <v>45988</v>
      </c>
      <c r="E15" s="1" t="n">
        <v>46265</v>
      </c>
      <c r="F15" t="inlineStr">
        <is>
          <t>SKÅNE LÄN</t>
        </is>
      </c>
      <c r="G15" t="inlineStr">
        <is>
          <t>LUND</t>
        </is>
      </c>
      <c r="I15" t="n">
        <v>7.1</v>
      </c>
      <c r="J15" t="n">
        <v>0</v>
      </c>
      <c r="K15" t="n">
        <v>1</v>
      </c>
      <c r="L15" t="n">
        <v>0</v>
      </c>
      <c r="M15" t="n">
        <v>0</v>
      </c>
      <c r="N15" t="n">
        <v>0</v>
      </c>
      <c r="O15" t="n">
        <v>0</v>
      </c>
      <c r="P15" t="n">
        <v>0</v>
      </c>
      <c r="Q15" t="n">
        <v>0</v>
      </c>
      <c r="R15" t="n">
        <v>0</v>
      </c>
      <c r="S15" t="n">
        <v>1</v>
      </c>
      <c r="T15" t="n">
        <v>1</v>
      </c>
      <c r="U15" t="n">
        <v>0</v>
      </c>
      <c r="V15" s="2" t="inlineStr">
        <is>
          <t>Scharlakansskål</t>
        </is>
      </c>
      <c r="W15">
        <f>HYPERLINK("https://klasma.github.io/Logging_1281/artfynd/A 59227-2025 artfynd.xlsx", "A 59227-2025")</f>
        <v/>
      </c>
      <c r="X15">
        <f>HYPERLINK("https://klasma.github.io/Logging_1281/kartor/A 59227-2025 karta.png", "A 59227-2025")</f>
        <v/>
      </c>
      <c r="Y15">
        <f>HYPERLINK("https://klasma.github.io/Logging_1281/kartor_geotiff/A 59227-2025 georefererad karta.tif", "A 59227-2025")</f>
        <v/>
      </c>
      <c r="AA15">
        <f>HYPERLINK("https://klasma.github.io/Logging_1281/klagomål/A 59227-2025 FSC-klagomål.docx", "A 59227-2025")</f>
        <v/>
      </c>
      <c r="AB15">
        <f>HYPERLINK("https://klasma.github.io/Logging_1281/klagomålsmail/A 59227-2025 FSC-klagomål mail.docx", "A 59227-2025")</f>
        <v/>
      </c>
      <c r="AC15">
        <f>HYPERLINK("https://klasma.github.io/Logging_1281/tillsyn/A 59227-2025 tillsynsbegäran.docx", "A 59227-2025")</f>
        <v/>
      </c>
      <c r="AD15">
        <f>HYPERLINK("https://klasma.github.io/Logging_1281/tillsynsmail/A 59227-2025 tillsynsbegäran mail.docx", "A 59227-2025")</f>
        <v/>
      </c>
    </row>
    <row r="16" ht="15" customHeight="1">
      <c r="A16" t="inlineStr">
        <is>
          <t>A 29075-2023</t>
        </is>
      </c>
      <c r="B16" t="inlineStr">
        <is>
          <t>avverkningsanmälan</t>
        </is>
      </c>
      <c r="C16" t="inlineStr">
        <is>
          <t>Föryngringsavverkning</t>
        </is>
      </c>
      <c r="D16" s="1" t="n">
        <v>45104</v>
      </c>
      <c r="E16" s="1" t="n">
        <v>46265</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46265</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46265</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55158-2023</t>
        </is>
      </c>
      <c r="B19" t="inlineStr">
        <is>
          <t>avverkningsanmälan</t>
        </is>
      </c>
      <c r="C19" t="inlineStr">
        <is>
          <t>Föryngringsavverkning</t>
        </is>
      </c>
      <c r="D19" s="1" t="n">
        <v>45237</v>
      </c>
      <c r="E19" s="1" t="n">
        <v>46265</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11732-2024</t>
        </is>
      </c>
      <c r="B20" t="inlineStr">
        <is>
          <t>avverkningsanmälan</t>
        </is>
      </c>
      <c r="C20" t="inlineStr">
        <is>
          <t>Föryngringsavverkning</t>
        </is>
      </c>
      <c r="D20" s="1" t="n">
        <v>45373</v>
      </c>
      <c r="E20" s="1" t="n">
        <v>46265</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27377-2026</t>
        </is>
      </c>
      <c r="B21" t="inlineStr">
        <is>
          <t>avverkningsanmälan</t>
        </is>
      </c>
      <c r="C21" t="inlineStr">
        <is>
          <t>Föryngringsavverkning</t>
        </is>
      </c>
      <c r="D21" s="1" t="n">
        <v>46189</v>
      </c>
      <c r="E21" s="1" t="n">
        <v>46265</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46265</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46265</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46265</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58337-2025</t>
        </is>
      </c>
      <c r="B25" t="inlineStr">
        <is>
          <t>avverkningsanmälan</t>
        </is>
      </c>
      <c r="C25" t="inlineStr">
        <is>
          <t>Föryngringsavverkning</t>
        </is>
      </c>
      <c r="D25" s="1" t="n">
        <v>45985</v>
      </c>
      <c r="E25" s="1" t="n">
        <v>46265</v>
      </c>
      <c r="F25" t="inlineStr">
        <is>
          <t>SKÅNE LÄN</t>
        </is>
      </c>
      <c r="G25" t="inlineStr">
        <is>
          <t>LUND</t>
        </is>
      </c>
      <c r="I25" t="n">
        <v>2</v>
      </c>
      <c r="J25" t="n">
        <v>0</v>
      </c>
      <c r="K25" t="n">
        <v>0</v>
      </c>
      <c r="L25" t="n">
        <v>0</v>
      </c>
      <c r="M25" t="n">
        <v>0</v>
      </c>
      <c r="N25" t="n">
        <v>0</v>
      </c>
      <c r="O25" t="n">
        <v>0</v>
      </c>
      <c r="P25" t="n">
        <v>0</v>
      </c>
      <c r="Q25" t="n">
        <v>0</v>
      </c>
      <c r="R25" t="n">
        <v>0</v>
      </c>
      <c r="S25" t="n">
        <v>0</v>
      </c>
      <c r="T25" t="n">
        <v>0</v>
      </c>
      <c r="U25" t="n">
        <v>0</v>
      </c>
      <c r="V25" s="2" t="inlineStr"/>
    </row>
    <row r="26" ht="15" customHeight="1">
      <c r="A26" t="inlineStr">
        <is>
          <t>A 58335-2025</t>
        </is>
      </c>
      <c r="B26" t="inlineStr">
        <is>
          <t>avverkningsanmälan</t>
        </is>
      </c>
      <c r="C26" t="inlineStr">
        <is>
          <t>Föryngringsavverkning</t>
        </is>
      </c>
      <c r="D26" s="1" t="n">
        <v>45985</v>
      </c>
      <c r="E26" s="1" t="n">
        <v>46265</v>
      </c>
      <c r="F26" t="inlineStr">
        <is>
          <t>SKÅNE LÄN</t>
        </is>
      </c>
      <c r="G26" t="inlineStr">
        <is>
          <t>LUND</t>
        </is>
      </c>
      <c r="I26" t="n">
        <v>2.5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46265</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46265</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59918-2022</t>
        </is>
      </c>
      <c r="B29" t="inlineStr">
        <is>
          <t>avverkningsanmälan</t>
        </is>
      </c>
      <c r="C29" t="inlineStr">
        <is>
          <t>Föryngringsavverkning</t>
        </is>
      </c>
      <c r="D29" s="1" t="n">
        <v>44909</v>
      </c>
      <c r="E29" s="1" t="n">
        <v>46265</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46265</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9889-2026</t>
        </is>
      </c>
      <c r="B31" t="inlineStr">
        <is>
          <t>avverkningsanmälan</t>
        </is>
      </c>
      <c r="C31" t="inlineStr">
        <is>
          <t>Föryngringsavverkning</t>
        </is>
      </c>
      <c r="D31" s="1" t="n">
        <v>46073</v>
      </c>
      <c r="E31" s="1" t="n">
        <v>46265</v>
      </c>
      <c r="F31" t="inlineStr">
        <is>
          <t>SKÅNE LÄN</t>
        </is>
      </c>
      <c r="G31" t="inlineStr">
        <is>
          <t>LUND</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31773-2023</t>
        </is>
      </c>
      <c r="B32" t="inlineStr">
        <is>
          <t>avverkningsanmälan</t>
        </is>
      </c>
      <c r="C32" t="inlineStr">
        <is>
          <t>Föryngringsavverkning</t>
        </is>
      </c>
      <c r="D32" s="1" t="n">
        <v>45118</v>
      </c>
      <c r="E32" s="1" t="n">
        <v>46265</v>
      </c>
      <c r="F32" t="inlineStr">
        <is>
          <t>SKÅNE LÄN</t>
        </is>
      </c>
      <c r="G32" t="inlineStr">
        <is>
          <t>LUND</t>
        </is>
      </c>
      <c r="H32" t="inlineStr">
        <is>
          <t>Kommuner</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46265</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28885-2022</t>
        </is>
      </c>
      <c r="B34" t="inlineStr">
        <is>
          <t>avverkningsanmälan</t>
        </is>
      </c>
      <c r="C34" t="inlineStr">
        <is>
          <t>Föryngringsavverkning</t>
        </is>
      </c>
      <c r="D34" s="1" t="n">
        <v>44749</v>
      </c>
      <c r="E34" s="1" t="n">
        <v>46265</v>
      </c>
      <c r="F34" t="inlineStr">
        <is>
          <t>SKÅNE LÄN</t>
        </is>
      </c>
      <c r="G34" t="inlineStr">
        <is>
          <t>LUND</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46265</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46265</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46265</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46265</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20277-2026</t>
        </is>
      </c>
      <c r="B39" t="inlineStr">
        <is>
          <t>avverkningsanmälan</t>
        </is>
      </c>
      <c r="C39" t="inlineStr">
        <is>
          <t>Föryngringsavverkning</t>
        </is>
      </c>
      <c r="D39" s="1" t="n">
        <v>46139</v>
      </c>
      <c r="E39" s="1" t="n">
        <v>46265</v>
      </c>
      <c r="F39" t="inlineStr">
        <is>
          <t>SKÅNE LÄN</t>
        </is>
      </c>
      <c r="G39" t="inlineStr">
        <is>
          <t>LUND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17519-2023</t>
        </is>
      </c>
      <c r="B40" t="inlineStr">
        <is>
          <t>avverkningsanmälan</t>
        </is>
      </c>
      <c r="C40" t="inlineStr">
        <is>
          <t>Avverkning för annat ändamål</t>
        </is>
      </c>
      <c r="D40" s="1" t="n">
        <v>45036</v>
      </c>
      <c r="E40" s="1" t="n">
        <v>46265</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46265</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46265</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46265</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46265</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2026-08-31T10:02:01Z</dcterms:created>
  <dcterms:modified xmlns:dcterms="http://purl.org/dc/terms/" xmlns:xsi="http://www.w3.org/2001/XMLSchema-instance" xsi:type="dcterms:W3CDTF">2026-08-31T10:02:01Z</dcterms:modified>
</cp:coreProperties>
</file>