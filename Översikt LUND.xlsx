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45881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45881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45881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45881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45881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45881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4816-2025</t>
        </is>
      </c>
      <c r="B8" s="1" t="n">
        <v>45688.62052083333</v>
      </c>
      <c r="C8" s="1" t="n">
        <v>45881</v>
      </c>
      <c r="D8" t="inlineStr">
        <is>
          <t>SKÅNE LÄN</t>
        </is>
      </c>
      <c r="E8" t="inlineStr">
        <is>
          <t>LUND</t>
        </is>
      </c>
      <c r="G8" t="n">
        <v>7.7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HYPERLINK("https://klasma.github.io/Logging_1281/artfynd/A 4816-2025 artfynd.xlsx", "A 4816-2025")</f>
        <v/>
      </c>
      <c r="T8">
        <f>HYPERLINK("https://klasma.github.io/Logging_1281/kartor/A 4816-2025 karta.png", "A 4816-2025")</f>
        <v/>
      </c>
      <c r="V8">
        <f>HYPERLINK("https://klasma.github.io/Logging_1281/klagomål/A 4816-2025 FSC-klagomål.docx", "A 4816-2025")</f>
        <v/>
      </c>
      <c r="W8">
        <f>HYPERLINK("https://klasma.github.io/Logging_1281/klagomålsmail/A 4816-2025 FSC-klagomål mail.docx", "A 4816-2025")</f>
        <v/>
      </c>
      <c r="X8">
        <f>HYPERLINK("https://klasma.github.io/Logging_1281/tillsyn/A 4816-2025 tillsynsbegäran.docx", "A 4816-2025")</f>
        <v/>
      </c>
      <c r="Y8">
        <f>HYPERLINK("https://klasma.github.io/Logging_1281/tillsynsmail/A 4816-2025 tillsynsbegäran mail.docx", "A 4816-2025")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45881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45881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45881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45881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45881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31764-2023</t>
        </is>
      </c>
      <c r="B14" s="1" t="n">
        <v>45118</v>
      </c>
      <c r="C14" s="1" t="n">
        <v>45881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Skorpdyna</t>
        </is>
      </c>
      <c r="S14">
        <f>HYPERLINK("https://klasma.github.io/Logging_1281/artfynd/A 31764-2023 artfynd.xlsx", "A 31764-2023")</f>
        <v/>
      </c>
      <c r="T14">
        <f>HYPERLINK("https://klasma.github.io/Logging_1281/kartor/A 31764-2023 karta.png", "A 31764-2023")</f>
        <v/>
      </c>
      <c r="V14">
        <f>HYPERLINK("https://klasma.github.io/Logging_1281/klagomål/A 31764-2023 FSC-klagomål.docx", "A 31764-2023")</f>
        <v/>
      </c>
      <c r="W14">
        <f>HYPERLINK("https://klasma.github.io/Logging_1281/klagomålsmail/A 31764-2023 FSC-klagomål mail.docx", "A 31764-2023")</f>
        <v/>
      </c>
      <c r="X14">
        <f>HYPERLINK("https://klasma.github.io/Logging_1281/tillsyn/A 31764-2023 tillsynsbegäran.docx", "A 31764-2023")</f>
        <v/>
      </c>
      <c r="Y14">
        <f>HYPERLINK("https://klasma.github.io/Logging_1281/tillsynsmail/A 31764-2023 tillsynsbegäran mail.docx", "A 31764-2023")</f>
        <v/>
      </c>
    </row>
    <row r="15" ht="15" customHeight="1">
      <c r="A15" t="inlineStr">
        <is>
          <t>A 22411-2021</t>
        </is>
      </c>
      <c r="B15" s="1" t="n">
        <v>44326</v>
      </c>
      <c r="C15" s="1" t="n">
        <v>45881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48295-2020</t>
        </is>
      </c>
      <c r="B16" s="1" t="n">
        <v>44102</v>
      </c>
      <c r="C16" s="1" t="n">
        <v>45881</v>
      </c>
      <c r="D16" t="inlineStr">
        <is>
          <t>SKÅNE LÄN</t>
        </is>
      </c>
      <c r="E16" t="inlineStr">
        <is>
          <t>LUND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56855-2021</t>
        </is>
      </c>
      <c r="B17" s="1" t="n">
        <v>44481</v>
      </c>
      <c r="C17" s="1" t="n">
        <v>45881</v>
      </c>
      <c r="D17" t="inlineStr">
        <is>
          <t>SKÅNE LÄN</t>
        </is>
      </c>
      <c r="E17" t="inlineStr">
        <is>
          <t>LUND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68005-2021</t>
        </is>
      </c>
      <c r="B18" s="1" t="n">
        <v>44525</v>
      </c>
      <c r="C18" s="1" t="n">
        <v>45881</v>
      </c>
      <c r="D18" t="inlineStr">
        <is>
          <t>SKÅNE LÄN</t>
        </is>
      </c>
      <c r="E18" t="inlineStr">
        <is>
          <t>LUND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4755-2025</t>
        </is>
      </c>
      <c r="B19" s="1" t="n">
        <v>45688.46853009259</v>
      </c>
      <c r="C19" s="1" t="n">
        <v>45881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45881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29083-2023</t>
        </is>
      </c>
      <c r="B21" s="1" t="n">
        <v>45105</v>
      </c>
      <c r="C21" s="1" t="n">
        <v>45881</v>
      </c>
      <c r="D21" t="inlineStr">
        <is>
          <t>SKÅNE LÄN</t>
        </is>
      </c>
      <c r="E21" t="inlineStr">
        <is>
          <t>LUND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49297-2023</t>
        </is>
      </c>
      <c r="B22" s="1" t="n">
        <v>45210</v>
      </c>
      <c r="C22" s="1" t="n">
        <v>45881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45881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4811-2025</t>
        </is>
      </c>
      <c r="B24" s="1" t="n">
        <v>45688.60861111111</v>
      </c>
      <c r="C24" s="1" t="n">
        <v>45881</v>
      </c>
      <c r="D24" t="inlineStr">
        <is>
          <t>SKÅNE LÄN</t>
        </is>
      </c>
      <c r="E24" t="inlineStr">
        <is>
          <t>LUND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8601-2023</t>
        </is>
      </c>
      <c r="B25" s="1" t="n">
        <v>44977</v>
      </c>
      <c r="C25" s="1" t="n">
        <v>45881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11732-2024</t>
        </is>
      </c>
      <c r="B26" s="1" t="n">
        <v>45373.69222222222</v>
      </c>
      <c r="C26" s="1" t="n">
        <v>45881</v>
      </c>
      <c r="D26" t="inlineStr">
        <is>
          <t>SKÅNE LÄN</t>
        </is>
      </c>
      <c r="E26" t="inlineStr">
        <is>
          <t>LUND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45881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17519-2023</t>
        </is>
      </c>
      <c r="B28" s="1" t="n">
        <v>45036</v>
      </c>
      <c r="C28" s="1" t="n">
        <v>45881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45881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21767-2023</t>
        </is>
      </c>
      <c r="B30" s="1" t="n">
        <v>45065</v>
      </c>
      <c r="C30" s="1" t="n">
        <v>45881</v>
      </c>
      <c r="D30" t="inlineStr">
        <is>
          <t>SKÅNE LÄN</t>
        </is>
      </c>
      <c r="E30" t="inlineStr">
        <is>
          <t>LUND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6034-2025</t>
        </is>
      </c>
      <c r="B31" s="1" t="n">
        <v>45695.64231481482</v>
      </c>
      <c r="C31" s="1" t="n">
        <v>45881</v>
      </c>
      <c r="D31" t="inlineStr">
        <is>
          <t>SKÅNE LÄN</t>
        </is>
      </c>
      <c r="E31" t="inlineStr">
        <is>
          <t>LUND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5059-2025</t>
        </is>
      </c>
      <c r="B32" s="1" t="n">
        <v>45691.47211805556</v>
      </c>
      <c r="C32" s="1" t="n">
        <v>45881</v>
      </c>
      <c r="D32" t="inlineStr">
        <is>
          <t>SKÅNE LÄN</t>
        </is>
      </c>
      <c r="E32" t="inlineStr">
        <is>
          <t>LUND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29075-2023</t>
        </is>
      </c>
      <c r="B33" s="1" t="n">
        <v>45104</v>
      </c>
      <c r="C33" s="1" t="n">
        <v>45881</v>
      </c>
      <c r="D33" t="inlineStr">
        <is>
          <t>SKÅNE LÄN</t>
        </is>
      </c>
      <c r="E33" t="inlineStr">
        <is>
          <t>LUND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4803-2025</t>
        </is>
      </c>
      <c r="B34" s="1" t="n">
        <v>45688.59399305555</v>
      </c>
      <c r="C34" s="1" t="n">
        <v>45881</v>
      </c>
      <c r="D34" t="inlineStr">
        <is>
          <t>SKÅNE LÄN</t>
        </is>
      </c>
      <c r="E34" t="inlineStr">
        <is>
          <t>LUND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59918-2022</t>
        </is>
      </c>
      <c r="B35" s="1" t="n">
        <v>44909</v>
      </c>
      <c r="C35" s="1" t="n">
        <v>45881</v>
      </c>
      <c r="D35" t="inlineStr">
        <is>
          <t>SKÅNE LÄN</t>
        </is>
      </c>
      <c r="E35" t="inlineStr">
        <is>
          <t>LUND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31773-2023</t>
        </is>
      </c>
      <c r="B36" s="1" t="n">
        <v>45118</v>
      </c>
      <c r="C36" s="1" t="n">
        <v>45881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45881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14058-2025</t>
        </is>
      </c>
      <c r="B38" s="1" t="n">
        <v>45740.40390046296</v>
      </c>
      <c r="C38" s="1" t="n">
        <v>45881</v>
      </c>
      <c r="D38" t="inlineStr">
        <is>
          <t>SKÅNE LÄN</t>
        </is>
      </c>
      <c r="E38" t="inlineStr">
        <is>
          <t>LUND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22088-2025</t>
        </is>
      </c>
      <c r="B39" s="1" t="n">
        <v>45785.44978009259</v>
      </c>
      <c r="C39" s="1" t="n">
        <v>45881</v>
      </c>
      <c r="D39" t="inlineStr">
        <is>
          <t>SKÅNE LÄN</t>
        </is>
      </c>
      <c r="E39" t="inlineStr">
        <is>
          <t>LUND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28885-2022</t>
        </is>
      </c>
      <c r="B40" s="1" t="n">
        <v>44749</v>
      </c>
      <c r="C40" s="1" t="n">
        <v>45881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34484-2025</t>
        </is>
      </c>
      <c r="B41" s="1" t="n">
        <v>45847.39517361111</v>
      </c>
      <c r="C41" s="1" t="n">
        <v>45881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45881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20057-2025</t>
        </is>
      </c>
      <c r="B43" s="1" t="n">
        <v>45772</v>
      </c>
      <c r="C43" s="1" t="n">
        <v>45881</v>
      </c>
      <c r="D43" t="inlineStr">
        <is>
          <t>SKÅNE LÄN</t>
        </is>
      </c>
      <c r="E43" t="inlineStr">
        <is>
          <t>LUND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45881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45881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4761-2025</t>
        </is>
      </c>
      <c r="B46" s="1" t="n">
        <v>45688.47814814815</v>
      </c>
      <c r="C46" s="1" t="n">
        <v>45881</v>
      </c>
      <c r="D46" t="inlineStr">
        <is>
          <t>SKÅNE LÄN</t>
        </is>
      </c>
      <c r="E46" t="inlineStr">
        <is>
          <t>LUND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29247-2025</t>
        </is>
      </c>
      <c r="B47" s="1" t="n">
        <v>45824</v>
      </c>
      <c r="C47" s="1" t="n">
        <v>45881</v>
      </c>
      <c r="D47" t="inlineStr">
        <is>
          <t>SKÅNE LÄN</t>
        </is>
      </c>
      <c r="E47" t="inlineStr">
        <is>
          <t>LUND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4788-2025</t>
        </is>
      </c>
      <c r="B48" s="1" t="n">
        <v>45688.569375</v>
      </c>
      <c r="C48" s="1" t="n">
        <v>45881</v>
      </c>
      <c r="D48" t="inlineStr">
        <is>
          <t>SKÅNE LÄN</t>
        </is>
      </c>
      <c r="E48" t="inlineStr">
        <is>
          <t>LUND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44646-2023</t>
        </is>
      </c>
      <c r="B49" s="1" t="n">
        <v>45189</v>
      </c>
      <c r="C49" s="1" t="n">
        <v>45881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15984-2025</t>
        </is>
      </c>
      <c r="B50" s="1" t="n">
        <v>45749</v>
      </c>
      <c r="C50" s="1" t="n">
        <v>45881</v>
      </c>
      <c r="D50" t="inlineStr">
        <is>
          <t>SKÅNE LÄN</t>
        </is>
      </c>
      <c r="E50" t="inlineStr">
        <is>
          <t>LUND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2025-08-12T08:25:51Z</dcterms:created>
  <dcterms:modified xmlns:dcterms="http://purl.org/dc/terms/" xmlns:xsi="http://www.w3.org/2001/XMLSchema-instance" xsi:type="dcterms:W3CDTF">2025-08-12T08:25:51Z</dcterms:modified>
</cp:coreProperties>
</file>