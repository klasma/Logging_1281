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46177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46177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4816-2025</t>
        </is>
      </c>
      <c r="B6" s="1" t="n">
        <v>45688.62052083333</v>
      </c>
      <c r="C6" s="1" t="n">
        <v>46177</v>
      </c>
      <c r="D6" t="inlineStr">
        <is>
          <t>SKÅNE LÄN</t>
        </is>
      </c>
      <c r="E6" t="inlineStr">
        <is>
          <t>LUND</t>
        </is>
      </c>
      <c r="G6" t="n">
        <v>7.7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Sydlig sotticka
Strutbräken</t>
        </is>
      </c>
      <c r="S6">
        <f>HYPERLINK("https://klasma.github.io/Logging_1281/artfynd/A 4816-2025 artfynd.xlsx", "A 4816-2025")</f>
        <v/>
      </c>
      <c r="T6">
        <f>HYPERLINK("https://klasma.github.io/Logging_1281/kartor/A 4816-2025 karta.png", "A 4816-2025")</f>
        <v/>
      </c>
      <c r="V6">
        <f>HYPERLINK("https://klasma.github.io/Logging_1281/klagomål/A 4816-2025 FSC-klagomål.docx", "A 4816-2025")</f>
        <v/>
      </c>
      <c r="W6">
        <f>HYPERLINK("https://klasma.github.io/Logging_1281/klagomålsmail/A 4816-2025 FSC-klagomål mail.docx", "A 4816-2025")</f>
        <v/>
      </c>
      <c r="X6">
        <f>HYPERLINK("https://klasma.github.io/Logging_1281/tillsyn/A 4816-2025 tillsynsbegäran.docx", "A 4816-2025")</f>
        <v/>
      </c>
      <c r="Y6">
        <f>HYPERLINK("https://klasma.github.io/Logging_1281/tillsynsmail/A 4816-2025 tillsynsbegäran mail.docx", "A 4816-2025")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46177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46177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46177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46177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46177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46177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46177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11732-2024</t>
        </is>
      </c>
      <c r="B15" s="1" t="n">
        <v>45373.69222222222</v>
      </c>
      <c r="C15" s="1" t="n">
        <v>46177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46177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59227-2025</t>
        </is>
      </c>
      <c r="B17" s="1" t="n">
        <v>45988.62253472222</v>
      </c>
      <c r="C17" s="1" t="n">
        <v>46177</v>
      </c>
      <c r="D17" t="inlineStr">
        <is>
          <t>SKÅNE LÄN</t>
        </is>
      </c>
      <c r="E17" t="inlineStr">
        <is>
          <t>LUND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HYPERLINK("https://klasma.github.io/Logging_1281/artfynd/A 59227-2025 artfynd.xlsx", "A 59227-2025")</f>
        <v/>
      </c>
      <c r="T17">
        <f>HYPERLINK("https://klasma.github.io/Logging_1281/kartor/A 59227-2025 karta.png", "A 59227-2025")</f>
        <v/>
      </c>
      <c r="V17">
        <f>HYPERLINK("https://klasma.github.io/Logging_1281/klagomål/A 59227-2025 FSC-klagomål.docx", "A 59227-2025")</f>
        <v/>
      </c>
      <c r="W17">
        <f>HYPERLINK("https://klasma.github.io/Logging_1281/klagomålsmail/A 59227-2025 FSC-klagomål mail.docx", "A 59227-2025")</f>
        <v/>
      </c>
      <c r="X17">
        <f>HYPERLINK("https://klasma.github.io/Logging_1281/tillsyn/A 59227-2025 tillsynsbegäran.docx", "A 59227-2025")</f>
        <v/>
      </c>
      <c r="Y17">
        <f>HYPERLINK("https://klasma.github.io/Logging_1281/tillsynsmail/A 59227-2025 tillsynsbegäran mail.docx", "A 59227-2025")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31773-2023</t>
        </is>
      </c>
      <c r="B20" s="1" t="n">
        <v>45118</v>
      </c>
      <c r="C20" s="1" t="n">
        <v>46177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46177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13754-2022</t>
        </is>
      </c>
      <c r="B22" s="1" t="n">
        <v>44649</v>
      </c>
      <c r="C22" s="1" t="n">
        <v>46177</v>
      </c>
      <c r="D22" t="inlineStr">
        <is>
          <t>SKÅNE LÄN</t>
        </is>
      </c>
      <c r="E22" t="inlineStr">
        <is>
          <t>LUND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46177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46177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46177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46177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46177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46177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46177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46177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16499-2025</t>
        </is>
      </c>
      <c r="B31" s="1" t="n">
        <v>45751.60246527778</v>
      </c>
      <c r="C31" s="1" t="n">
        <v>46177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59733-2023</t>
        </is>
      </c>
      <c r="B32" s="1" t="n">
        <v>45257</v>
      </c>
      <c r="C32" s="1" t="n">
        <v>46177</v>
      </c>
      <c r="D32" t="inlineStr">
        <is>
          <t>SKÅNE LÄN</t>
        </is>
      </c>
      <c r="E32" t="inlineStr">
        <is>
          <t>LUND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55158-2023</t>
        </is>
      </c>
      <c r="B33" s="1" t="n">
        <v>45237</v>
      </c>
      <c r="C33" s="1" t="n">
        <v>46177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46177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20057-2025</t>
        </is>
      </c>
      <c r="B35" s="1" t="n">
        <v>45772</v>
      </c>
      <c r="C35" s="1" t="n">
        <v>46177</v>
      </c>
      <c r="D35" t="inlineStr">
        <is>
          <t>SKÅNE LÄN</t>
        </is>
      </c>
      <c r="E35" t="inlineStr">
        <is>
          <t>LUND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46177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44646-2023</t>
        </is>
      </c>
      <c r="B37" s="1" t="n">
        <v>45189</v>
      </c>
      <c r="C37" s="1" t="n">
        <v>46177</v>
      </c>
      <c r="D37" t="inlineStr">
        <is>
          <t>SKÅNE LÄN</t>
        </is>
      </c>
      <c r="E37" t="inlineStr">
        <is>
          <t>LUND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15984-2025</t>
        </is>
      </c>
      <c r="B38" s="1" t="n">
        <v>45749</v>
      </c>
      <c r="C38" s="1" t="n">
        <v>46177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29083-2023</t>
        </is>
      </c>
      <c r="B39" s="1" t="n">
        <v>45105</v>
      </c>
      <c r="C39" s="1" t="n">
        <v>46177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46177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46177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29247-2025</t>
        </is>
      </c>
      <c r="B42" s="1" t="n">
        <v>45824</v>
      </c>
      <c r="C42" s="1" t="n">
        <v>46177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46177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58337-2025</t>
        </is>
      </c>
      <c r="B44" s="1" t="n">
        <v>45985.48895833334</v>
      </c>
      <c r="C44" s="1" t="n">
        <v>46177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58488-2025</t>
        </is>
      </c>
      <c r="B45" s="1" t="n">
        <v>45985.66210648148</v>
      </c>
      <c r="C45" s="1" t="n">
        <v>46177</v>
      </c>
      <c r="D45" t="inlineStr">
        <is>
          <t>SKÅNE LÄN</t>
        </is>
      </c>
      <c r="E45" t="inlineStr">
        <is>
          <t>LUND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58335-2025</t>
        </is>
      </c>
      <c r="B46" s="1" t="n">
        <v>45985.48332175926</v>
      </c>
      <c r="C46" s="1" t="n">
        <v>46177</v>
      </c>
      <c r="D46" t="inlineStr">
        <is>
          <t>SKÅNE LÄN</t>
        </is>
      </c>
      <c r="E46" t="inlineStr">
        <is>
          <t>LUND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59206-2025</t>
        </is>
      </c>
      <c r="B47" s="1" t="n">
        <v>45988.60881944445</v>
      </c>
      <c r="C47" s="1" t="n">
        <v>46177</v>
      </c>
      <c r="D47" t="inlineStr">
        <is>
          <t>SKÅNE LÄN</t>
        </is>
      </c>
      <c r="E47" t="inlineStr">
        <is>
          <t>LUND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34484-2025</t>
        </is>
      </c>
      <c r="B48" s="1" t="n">
        <v>45847.39517361111</v>
      </c>
      <c r="C48" s="1" t="n">
        <v>46177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9889-2026</t>
        </is>
      </c>
      <c r="B49" s="1" t="n">
        <v>46073.368125</v>
      </c>
      <c r="C49" s="1" t="n">
        <v>46177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20277-2026</t>
        </is>
      </c>
      <c r="B50" s="1" t="n">
        <v>46139.53665509259</v>
      </c>
      <c r="C50" s="1" t="n">
        <v>46177</v>
      </c>
      <c r="D50" t="inlineStr">
        <is>
          <t>SKÅNE LÄN</t>
        </is>
      </c>
      <c r="E50" t="inlineStr">
        <is>
          <t>LUND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20281-2026</t>
        </is>
      </c>
      <c r="B51" s="1" t="n">
        <v>46139.53974537037</v>
      </c>
      <c r="C51" s="1" t="n">
        <v>46177</v>
      </c>
      <c r="D51" t="inlineStr">
        <is>
          <t>SKÅNE LÄN</t>
        </is>
      </c>
      <c r="E51" t="inlineStr">
        <is>
          <t>LUND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2026-06-04T11:08:42Z</dcterms:created>
  <dcterms:modified xmlns:dcterms="http://purl.org/dc/terms/" xmlns:xsi="http://www.w3.org/2001/XMLSchema-instance" xsi:type="dcterms:W3CDTF">2026-06-04T11:08:42Z</dcterms:modified>
</cp:coreProperties>
</file>