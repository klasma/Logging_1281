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46323</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46323</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46323</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31764-2023</t>
        </is>
      </c>
      <c r="B5" t="inlineStr">
        <is>
          <t>avverkningsanmälan</t>
        </is>
      </c>
      <c r="C5" t="inlineStr">
        <is>
          <t>Föryngringsavverkning</t>
        </is>
      </c>
      <c r="D5" s="1" t="n">
        <v>45118</v>
      </c>
      <c r="E5" s="1" t="n">
        <v>46323</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46323</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4816-2025</t>
        </is>
      </c>
      <c r="B7" t="inlineStr">
        <is>
          <t>avverkningsanmälan</t>
        </is>
      </c>
      <c r="C7" t="inlineStr">
        <is>
          <t>Föryngringsavverkning</t>
        </is>
      </c>
      <c r="D7" s="1" t="n">
        <v>45688</v>
      </c>
      <c r="E7" s="1" t="n">
        <v>46323</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46323</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46323</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46323</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46323</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46323</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46323</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46323</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29075-2023</t>
        </is>
      </c>
      <c r="B15" t="inlineStr">
        <is>
          <t>avverkningsanmälan</t>
        </is>
      </c>
      <c r="C15" t="inlineStr">
        <is>
          <t>Föryngringsavverkning</t>
        </is>
      </c>
      <c r="D15" s="1" t="n">
        <v>45104</v>
      </c>
      <c r="E15" s="1" t="n">
        <v>46323</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55145-2023</t>
        </is>
      </c>
      <c r="B16" t="inlineStr">
        <is>
          <t>avverkningsanmälan</t>
        </is>
      </c>
      <c r="C16" t="inlineStr">
        <is>
          <t>Avverkning för att bevara och utveckla /försöksver</t>
        </is>
      </c>
      <c r="D16" s="1" t="n">
        <v>45237</v>
      </c>
      <c r="E16" s="1" t="n">
        <v>46323</v>
      </c>
      <c r="F16" t="inlineStr">
        <is>
          <t>SKÅNE LÄN</t>
        </is>
      </c>
      <c r="G16" t="inlineStr">
        <is>
          <t>LUND</t>
        </is>
      </c>
      <c r="H16" t="inlineStr">
        <is>
          <t>Kommuner</t>
        </is>
      </c>
      <c r="I16" t="n">
        <v>4.5</v>
      </c>
      <c r="J16" t="n">
        <v>0</v>
      </c>
      <c r="K16" t="n">
        <v>1</v>
      </c>
      <c r="L16" t="n">
        <v>0</v>
      </c>
      <c r="M16" t="n">
        <v>0</v>
      </c>
      <c r="N16" t="n">
        <v>0</v>
      </c>
      <c r="O16" t="n">
        <v>0</v>
      </c>
      <c r="P16" t="n">
        <v>0</v>
      </c>
      <c r="Q16" t="n">
        <v>0</v>
      </c>
      <c r="R16" t="n">
        <v>0</v>
      </c>
      <c r="S16" t="n">
        <v>1</v>
      </c>
      <c r="T16" t="n">
        <v>1</v>
      </c>
      <c r="U16" t="n">
        <v>1</v>
      </c>
      <c r="V16" s="2" t="inlineStr">
        <is>
          <t>Grovticka</t>
        </is>
      </c>
      <c r="W16">
        <f>HYPERLINK("https://klasma.github.io/Logging_1281/artfynd/A 55145-2023 artfynd.xlsx", "A 55145-2023")</f>
        <v/>
      </c>
      <c r="X16">
        <f>HYPERLINK("https://klasma.github.io/Logging_1281/kartor/A 55145-2023 karta.png", "A 55145-2023")</f>
        <v/>
      </c>
      <c r="Y16">
        <f>HYPERLINK("https://klasma.github.io/Logging_1281/kartor_geotiff/A 55145-2023 georefererad karta.tif", "A 55145-2023")</f>
        <v/>
      </c>
      <c r="AA16">
        <f>HYPERLINK("https://klasma.github.io/Logging_1281/klagomål/A 55145-2023 FSC-klagomål.docx", "A 55145-2023")</f>
        <v/>
      </c>
      <c r="AB16">
        <f>HYPERLINK("https://klasma.github.io/Logging_1281/klagomålsmail/A 55145-2023 FSC-klagomål mail.docx", "A 55145-2023")</f>
        <v/>
      </c>
      <c r="AC16">
        <f>HYPERLINK("https://klasma.github.io/Logging_1281/tillsyn/A 55145-2023 tillsynsbegäran.docx", "A 55145-2023")</f>
        <v/>
      </c>
      <c r="AD16">
        <f>HYPERLINK("https://klasma.github.io/Logging_1281/tillsynsmail/A 55145-2023 tillsynsbegäran mail.docx", "A 55145-2023")</f>
        <v/>
      </c>
    </row>
    <row r="17" ht="15" customHeight="1">
      <c r="A17" t="inlineStr">
        <is>
          <t>A 55158-2023</t>
        </is>
      </c>
      <c r="B17" t="inlineStr">
        <is>
          <t>avverkningsanmälan</t>
        </is>
      </c>
      <c r="C17" t="inlineStr">
        <is>
          <t>Föryngringsavverkning</t>
        </is>
      </c>
      <c r="D17" s="1" t="n">
        <v>45237</v>
      </c>
      <c r="E17" s="1" t="n">
        <v>46323</v>
      </c>
      <c r="F17" t="inlineStr">
        <is>
          <t>SKÅNE LÄN</t>
        </is>
      </c>
      <c r="G17" t="inlineStr">
        <is>
          <t>LUND</t>
        </is>
      </c>
      <c r="H17" t="inlineStr">
        <is>
          <t>Kommuner</t>
        </is>
      </c>
      <c r="I17" t="n">
        <v>0.7</v>
      </c>
      <c r="J17" t="n">
        <v>0</v>
      </c>
      <c r="K17" t="n">
        <v>0</v>
      </c>
      <c r="L17" t="n">
        <v>1</v>
      </c>
      <c r="M17" t="n">
        <v>0</v>
      </c>
      <c r="N17" t="n">
        <v>0</v>
      </c>
      <c r="O17" t="n">
        <v>0</v>
      </c>
      <c r="P17" t="n">
        <v>0</v>
      </c>
      <c r="Q17" t="n">
        <v>1</v>
      </c>
      <c r="R17" t="n">
        <v>0</v>
      </c>
      <c r="S17" t="n">
        <v>1</v>
      </c>
      <c r="T17" t="n">
        <v>2</v>
      </c>
      <c r="U17" t="n">
        <v>0</v>
      </c>
      <c r="V17" s="2" t="inlineStr">
        <is>
          <t>Backtimjan</t>
        </is>
      </c>
      <c r="W17">
        <f>HYPERLINK("https://klasma.github.io/Logging_1281/artfynd/A 55158-2023 artfynd.xlsx", "A 55158-2023")</f>
        <v/>
      </c>
      <c r="X17">
        <f>HYPERLINK("https://klasma.github.io/Logging_1281/kartor/A 55158-2023 karta.png", "A 55158-2023")</f>
        <v/>
      </c>
      <c r="Y17">
        <f>HYPERLINK("https://klasma.github.io/Logging_1281/kartor_geotiff/A 55158-2023 georefererad karta.tif", "A 55158-2023")</f>
        <v/>
      </c>
      <c r="AA17">
        <f>HYPERLINK("https://klasma.github.io/Logging_1281/klagomål/A 55158-2023 FSC-klagomål.docx", "A 55158-2023")</f>
        <v/>
      </c>
      <c r="AB17">
        <f>HYPERLINK("https://klasma.github.io/Logging_1281/klagomålsmail/A 55158-2023 FSC-klagomål mail.docx", "A 55158-2023")</f>
        <v/>
      </c>
      <c r="AC17">
        <f>HYPERLINK("https://klasma.github.io/Logging_1281/tillsyn/A 55158-2023 tillsynsbegäran.docx", "A 55158-2023")</f>
        <v/>
      </c>
      <c r="AD17">
        <f>HYPERLINK("https://klasma.github.io/Logging_1281/tillsynsmail/A 55158-2023 tillsynsbegäran mail.docx", "A 55158-2023")</f>
        <v/>
      </c>
    </row>
    <row r="18" ht="15" customHeight="1">
      <c r="A18" t="inlineStr">
        <is>
          <t>A 11732-2024</t>
        </is>
      </c>
      <c r="B18" t="inlineStr">
        <is>
          <t>avverkningsanmälan</t>
        </is>
      </c>
      <c r="C18" t="inlineStr">
        <is>
          <t>Föryngringsavverkning</t>
        </is>
      </c>
      <c r="D18" s="1" t="n">
        <v>45373</v>
      </c>
      <c r="E18" s="1" t="n">
        <v>46323</v>
      </c>
      <c r="F18" t="inlineStr">
        <is>
          <t>SKÅNE LÄN</t>
        </is>
      </c>
      <c r="G18" t="inlineStr">
        <is>
          <t>LUND</t>
        </is>
      </c>
      <c r="I18" t="n">
        <v>2.8</v>
      </c>
      <c r="J18" t="n">
        <v>1</v>
      </c>
      <c r="K18" t="n">
        <v>0</v>
      </c>
      <c r="L18" t="n">
        <v>0</v>
      </c>
      <c r="M18" t="n">
        <v>0</v>
      </c>
      <c r="N18" t="n">
        <v>1</v>
      </c>
      <c r="O18" t="n">
        <v>0</v>
      </c>
      <c r="P18" t="n">
        <v>0</v>
      </c>
      <c r="Q18" t="n">
        <v>1</v>
      </c>
      <c r="R18" t="n">
        <v>1</v>
      </c>
      <c r="S18" t="n">
        <v>1</v>
      </c>
      <c r="T18" t="n">
        <v>2</v>
      </c>
      <c r="U18" t="n">
        <v>2</v>
      </c>
      <c r="V18" s="2" t="inlineStr">
        <is>
          <t>Dvärgjohannesört</t>
        </is>
      </c>
      <c r="W18">
        <f>HYPERLINK("https://klasma.github.io/Logging_1281/artfynd/A 11732-2024 artfynd.xlsx", "A 11732-2024")</f>
        <v/>
      </c>
      <c r="X18">
        <f>HYPERLINK("https://klasma.github.io/Logging_1281/kartor/A 11732-2024 karta.png", "A 11732-2024")</f>
        <v/>
      </c>
      <c r="Y18">
        <f>HYPERLINK("https://klasma.github.io/Logging_1281/kartor_geotiff/A 11732-2024 georefererad karta.tif", "A 11732-2024")</f>
        <v/>
      </c>
      <c r="AA18">
        <f>HYPERLINK("https://klasma.github.io/Logging_1281/klagomål/A 11732-2024 FSC-klagomål.docx", "A 11732-2024")</f>
        <v/>
      </c>
      <c r="AB18">
        <f>HYPERLINK("https://klasma.github.io/Logging_1281/klagomålsmail/A 11732-2024 FSC-klagomål mail.docx", "A 11732-2024")</f>
        <v/>
      </c>
      <c r="AC18">
        <f>HYPERLINK("https://klasma.github.io/Logging_1281/tillsyn/A 11732-2024 tillsynsbegäran.docx", "A 11732-2024")</f>
        <v/>
      </c>
      <c r="AD18">
        <f>HYPERLINK("https://klasma.github.io/Logging_1281/tillsynsmail/A 11732-2024 tillsynsbegäran mail.docx", "A 11732-2024")</f>
        <v/>
      </c>
    </row>
    <row r="19" ht="15" customHeight="1">
      <c r="A19" t="inlineStr">
        <is>
          <t>A 4746-2025</t>
        </is>
      </c>
      <c r="B19" t="inlineStr">
        <is>
          <t>avverkningsanmälan</t>
        </is>
      </c>
      <c r="C19" t="inlineStr">
        <is>
          <t>Föryngringsavverkning</t>
        </is>
      </c>
      <c r="D19" s="1" t="n">
        <v>45688</v>
      </c>
      <c r="E19" s="1" t="n">
        <v>46323</v>
      </c>
      <c r="F19" t="inlineStr">
        <is>
          <t>SKÅNE LÄN</t>
        </is>
      </c>
      <c r="G19" t="inlineStr">
        <is>
          <t>LUND</t>
        </is>
      </c>
      <c r="I19" t="n">
        <v>1.1</v>
      </c>
      <c r="J19" t="n">
        <v>1</v>
      </c>
      <c r="K19" t="n">
        <v>0</v>
      </c>
      <c r="L19" t="n">
        <v>0</v>
      </c>
      <c r="M19" t="n">
        <v>0</v>
      </c>
      <c r="N19" t="n">
        <v>0</v>
      </c>
      <c r="O19" t="n">
        <v>0</v>
      </c>
      <c r="P19" t="n">
        <v>0</v>
      </c>
      <c r="Q19" t="n">
        <v>0</v>
      </c>
      <c r="R19" t="n">
        <v>0</v>
      </c>
      <c r="S19" t="n">
        <v>1</v>
      </c>
      <c r="T19" t="n">
        <v>1</v>
      </c>
      <c r="U19" t="n">
        <v>0</v>
      </c>
      <c r="V19" s="2" t="inlineStr">
        <is>
          <t>Svartvit flugsnappare</t>
        </is>
      </c>
      <c r="W19">
        <f>HYPERLINK("https://klasma.github.io/Logging_1281/artfynd/A 4746-2025 artfynd.xlsx", "A 4746-2025")</f>
        <v/>
      </c>
      <c r="X19">
        <f>HYPERLINK("https://klasma.github.io/Logging_1281/kartor/A 4746-2025 karta.png", "A 4746-2025")</f>
        <v/>
      </c>
      <c r="Y19">
        <f>HYPERLINK("https://klasma.github.io/Logging_1281/kartor_geotiff/A 4746-2025 georefererad karta.tif", "A 4746-2025")</f>
        <v/>
      </c>
      <c r="AA19">
        <f>HYPERLINK("https://klasma.github.io/Logging_1281/klagomål/A 4746-2025 FSC-klagomål.docx", "A 4746-2025")</f>
        <v/>
      </c>
      <c r="AB19">
        <f>HYPERLINK("https://klasma.github.io/Logging_1281/klagomålsmail/A 4746-2025 FSC-klagomål mail.docx", "A 4746-2025")</f>
        <v/>
      </c>
      <c r="AC19">
        <f>HYPERLINK("https://klasma.github.io/Logging_1281/tillsyn/A 4746-2025 tillsynsbegäran.docx", "A 4746-2025")</f>
        <v/>
      </c>
      <c r="AD19">
        <f>HYPERLINK("https://klasma.github.io/Logging_1281/tillsynsmail/A 4746-2025 tillsynsbegäran mail.docx", "A 4746-2025")</f>
        <v/>
      </c>
    </row>
    <row r="20" ht="15" customHeight="1">
      <c r="A20" t="inlineStr">
        <is>
          <t>A 27377-2026</t>
        </is>
      </c>
      <c r="B20" t="inlineStr">
        <is>
          <t>avverkningsanmälan</t>
        </is>
      </c>
      <c r="C20" t="inlineStr">
        <is>
          <t>Föryngringsavverkning</t>
        </is>
      </c>
      <c r="D20" s="1" t="n">
        <v>46189</v>
      </c>
      <c r="E20" s="1" t="n">
        <v>46323</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S 2231-2022</t>
        </is>
      </c>
      <c r="B21" t="inlineStr">
        <is>
          <t>samrådsanmälan</t>
        </is>
      </c>
      <c r="C21" t="inlineStr">
        <is>
          <t>Åtgärd i nyckelbiotop</t>
        </is>
      </c>
      <c r="D21" s="1" t="n">
        <v>44679</v>
      </c>
      <c r="E21" s="1" t="n">
        <v>46323</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46323</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59918-2022</t>
        </is>
      </c>
      <c r="B23" t="inlineStr">
        <is>
          <t>avverkningsanmälan</t>
        </is>
      </c>
      <c r="C23" t="inlineStr">
        <is>
          <t>Föryngringsavverkning</t>
        </is>
      </c>
      <c r="D23" s="1" t="n">
        <v>44909</v>
      </c>
      <c r="E23" s="1" t="n">
        <v>46323</v>
      </c>
      <c r="F23" t="inlineStr">
        <is>
          <t>SKÅNE LÄN</t>
        </is>
      </c>
      <c r="G23" t="inlineStr">
        <is>
          <t>LUND</t>
        </is>
      </c>
      <c r="I23" t="n">
        <v>1.6</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46323</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21767-2023</t>
        </is>
      </c>
      <c r="B25" t="inlineStr">
        <is>
          <t>avverkningsanmälan</t>
        </is>
      </c>
      <c r="C25" t="inlineStr">
        <is>
          <t>Föryngringsavverkning</t>
        </is>
      </c>
      <c r="D25" s="1" t="n">
        <v>45065</v>
      </c>
      <c r="E25" s="1" t="n">
        <v>46323</v>
      </c>
      <c r="F25" t="inlineStr">
        <is>
          <t>SKÅNE LÄN</t>
        </is>
      </c>
      <c r="G25" t="inlineStr">
        <is>
          <t>LUND</t>
        </is>
      </c>
      <c r="I25" t="n">
        <v>1.9</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46323</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5059-2025</t>
        </is>
      </c>
      <c r="B27" t="inlineStr">
        <is>
          <t>avverkningsanmälan</t>
        </is>
      </c>
      <c r="C27" t="inlineStr">
        <is>
          <t>Föryngringsavverkning</t>
        </is>
      </c>
      <c r="D27" s="1" t="n">
        <v>45691</v>
      </c>
      <c r="E27" s="1" t="n">
        <v>46323</v>
      </c>
      <c r="F27" t="inlineStr">
        <is>
          <t>SKÅNE LÄN</t>
        </is>
      </c>
      <c r="G27" t="inlineStr">
        <is>
          <t>LUND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46323</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46323</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31773-2023</t>
        </is>
      </c>
      <c r="B30" t="inlineStr">
        <is>
          <t>avverkningsanmälan</t>
        </is>
      </c>
      <c r="C30" t="inlineStr">
        <is>
          <t>Föryngringsavverkning</t>
        </is>
      </c>
      <c r="D30" s="1" t="n">
        <v>45118</v>
      </c>
      <c r="E30" s="1" t="n">
        <v>46323</v>
      </c>
      <c r="F30" t="inlineStr">
        <is>
          <t>SKÅNE LÄN</t>
        </is>
      </c>
      <c r="G30" t="inlineStr">
        <is>
          <t>LUND</t>
        </is>
      </c>
      <c r="H30" t="inlineStr">
        <is>
          <t>Kommuner</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13754-2022</t>
        </is>
      </c>
      <c r="B31" t="inlineStr">
        <is>
          <t>avverkningsanmälan</t>
        </is>
      </c>
      <c r="C31" t="inlineStr">
        <is>
          <t>Föryngringsavverkning</t>
        </is>
      </c>
      <c r="D31" s="1" t="n">
        <v>44649</v>
      </c>
      <c r="E31" s="1" t="n">
        <v>46323</v>
      </c>
      <c r="F31" t="inlineStr">
        <is>
          <t>SKÅNE LÄN</t>
        </is>
      </c>
      <c r="G31" t="inlineStr">
        <is>
          <t>LUND</t>
        </is>
      </c>
      <c r="I31" t="n">
        <v>2</v>
      </c>
      <c r="J31" t="n">
        <v>0</v>
      </c>
      <c r="K31" t="n">
        <v>0</v>
      </c>
      <c r="L31" t="n">
        <v>0</v>
      </c>
      <c r="M31" t="n">
        <v>0</v>
      </c>
      <c r="N31" t="n">
        <v>0</v>
      </c>
      <c r="O31" t="n">
        <v>0</v>
      </c>
      <c r="P31" t="n">
        <v>0</v>
      </c>
      <c r="Q31" t="n">
        <v>0</v>
      </c>
      <c r="R31" t="n">
        <v>0</v>
      </c>
      <c r="S31" t="n">
        <v>0</v>
      </c>
      <c r="T31" t="n">
        <v>0</v>
      </c>
      <c r="U31" t="n">
        <v>0</v>
      </c>
      <c r="V31" s="2" t="inlineStr"/>
    </row>
    <row r="32" ht="15" customHeight="1">
      <c r="A32" t="inlineStr">
        <is>
          <t>A 30506-2026</t>
        </is>
      </c>
      <c r="B32" t="inlineStr">
        <is>
          <t>avverkningsanmälan</t>
        </is>
      </c>
      <c r="C32" t="inlineStr">
        <is>
          <t>Föryngringsavverkning</t>
        </is>
      </c>
      <c r="D32" s="1" t="n">
        <v>46210</v>
      </c>
      <c r="E32" s="1" t="n">
        <v>46323</v>
      </c>
      <c r="F32" t="inlineStr">
        <is>
          <t>SKÅNE LÄN</t>
        </is>
      </c>
      <c r="G32" t="inlineStr">
        <is>
          <t>LUND</t>
        </is>
      </c>
      <c r="H32" t="inlineStr">
        <is>
          <t>Kommuner</t>
        </is>
      </c>
      <c r="I32" t="n">
        <v>6.6</v>
      </c>
      <c r="J32" t="n">
        <v>0</v>
      </c>
      <c r="K32" t="n">
        <v>0</v>
      </c>
      <c r="L32" t="n">
        <v>0</v>
      </c>
      <c r="M32" t="n">
        <v>0</v>
      </c>
      <c r="N32" t="n">
        <v>0</v>
      </c>
      <c r="O32" t="n">
        <v>0</v>
      </c>
      <c r="P32" t="n">
        <v>0</v>
      </c>
      <c r="Q32" t="n">
        <v>0</v>
      </c>
      <c r="R32" t="n">
        <v>0</v>
      </c>
      <c r="S32" t="n">
        <v>0</v>
      </c>
      <c r="T32" t="n">
        <v>0</v>
      </c>
      <c r="U32" t="n">
        <v>0</v>
      </c>
      <c r="V32" s="2" t="inlineStr"/>
    </row>
    <row r="33" ht="15" customHeight="1">
      <c r="A33" t="inlineStr">
        <is>
          <t>A 28885-2022</t>
        </is>
      </c>
      <c r="B33" t="inlineStr">
        <is>
          <t>avverkningsanmälan</t>
        </is>
      </c>
      <c r="C33" t="inlineStr">
        <is>
          <t>Föryngringsavverkning</t>
        </is>
      </c>
      <c r="D33" s="1" t="n">
        <v>44749</v>
      </c>
      <c r="E33" s="1" t="n">
        <v>46323</v>
      </c>
      <c r="F33" t="inlineStr">
        <is>
          <t>SKÅNE LÄN</t>
        </is>
      </c>
      <c r="G33" t="inlineStr">
        <is>
          <t>LUND</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46323</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9889-2026</t>
        </is>
      </c>
      <c r="B35" t="inlineStr">
        <is>
          <t>avverkningsanmälan</t>
        </is>
      </c>
      <c r="C35" t="inlineStr">
        <is>
          <t>Föryngringsavverkning</t>
        </is>
      </c>
      <c r="D35" s="1" t="n">
        <v>46073</v>
      </c>
      <c r="E35" s="1" t="n">
        <v>46323</v>
      </c>
      <c r="F35" t="inlineStr">
        <is>
          <t>SKÅNE LÄN</t>
        </is>
      </c>
      <c r="G35" t="inlineStr">
        <is>
          <t>LUND</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33019-2026</t>
        </is>
      </c>
      <c r="B36" t="inlineStr">
        <is>
          <t>avverkningsanmälan</t>
        </is>
      </c>
      <c r="C36" t="inlineStr">
        <is>
          <t>Föryngringsavverkning</t>
        </is>
      </c>
      <c r="D36" s="1" t="n">
        <v>46244</v>
      </c>
      <c r="E36" s="1" t="n">
        <v>46323</v>
      </c>
      <c r="F36" t="inlineStr">
        <is>
          <t>SKÅNE LÄN</t>
        </is>
      </c>
      <c r="G36" t="inlineStr">
        <is>
          <t>LUND</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44646-2023</t>
        </is>
      </c>
      <c r="B37" t="inlineStr">
        <is>
          <t>avverkningsanmälan</t>
        </is>
      </c>
      <c r="C37" t="inlineStr">
        <is>
          <t>Föryngringsavverkning</t>
        </is>
      </c>
      <c r="D37" s="1" t="n">
        <v>45189</v>
      </c>
      <c r="E37" s="1" t="n">
        <v>46323</v>
      </c>
      <c r="F37" t="inlineStr">
        <is>
          <t>SKÅNE LÄN</t>
        </is>
      </c>
      <c r="G37" t="inlineStr">
        <is>
          <t>LUND</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46323</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46323</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20277-2026</t>
        </is>
      </c>
      <c r="B40" t="inlineStr">
        <is>
          <t>avverkningsanmälan</t>
        </is>
      </c>
      <c r="C40" t="inlineStr">
        <is>
          <t>Föryngringsavverkning</t>
        </is>
      </c>
      <c r="D40" s="1" t="n">
        <v>46139</v>
      </c>
      <c r="E40" s="1" t="n">
        <v>46323</v>
      </c>
      <c r="F40" t="inlineStr">
        <is>
          <t>SKÅNE LÄN</t>
        </is>
      </c>
      <c r="G40" t="inlineStr">
        <is>
          <t>LUND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17519-2023</t>
        </is>
      </c>
      <c r="B41" t="inlineStr">
        <is>
          <t>avverkningsanmälan</t>
        </is>
      </c>
      <c r="C41" t="inlineStr">
        <is>
          <t>Avverkning för annat ändamål</t>
        </is>
      </c>
      <c r="D41" s="1" t="n">
        <v>45036</v>
      </c>
      <c r="E41" s="1" t="n">
        <v>46323</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46323</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46323</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2026-10-28T03:13:04Z</dcterms:created>
  <dcterms:modified xmlns:dcterms="http://purl.org/dc/terms/" xmlns:xsi="http://www.w3.org/2001/XMLSchema-instance" xsi:type="dcterms:W3CDTF">2026-10-28T03:13:04Z</dcterms:modified>
</cp:coreProperties>
</file>