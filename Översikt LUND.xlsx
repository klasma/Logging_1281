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46268</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46268</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59733-2023</t>
        </is>
      </c>
      <c r="B4" t="inlineStr">
        <is>
          <t>avverkningsanmälan</t>
        </is>
      </c>
      <c r="C4" t="inlineStr">
        <is>
          <t>Föryngringsavverkning</t>
        </is>
      </c>
      <c r="D4" s="1" t="n">
        <v>45257</v>
      </c>
      <c r="E4" s="1" t="n">
        <v>46268</v>
      </c>
      <c r="F4" t="inlineStr">
        <is>
          <t>SKÅNE LÄN</t>
        </is>
      </c>
      <c r="G4" t="inlineStr">
        <is>
          <t>LUND</t>
        </is>
      </c>
      <c r="I4" t="n">
        <v>8.9</v>
      </c>
      <c r="J4" t="n">
        <v>0</v>
      </c>
      <c r="K4" t="n">
        <v>1</v>
      </c>
      <c r="L4" t="n">
        <v>2</v>
      </c>
      <c r="M4" t="n">
        <v>1</v>
      </c>
      <c r="N4" t="n">
        <v>0</v>
      </c>
      <c r="O4" t="n">
        <v>0</v>
      </c>
      <c r="P4" t="n">
        <v>0</v>
      </c>
      <c r="Q4" t="n">
        <v>3</v>
      </c>
      <c r="R4" t="n">
        <v>1</v>
      </c>
      <c r="S4" t="n">
        <v>4</v>
      </c>
      <c r="T4" t="n">
        <v>4</v>
      </c>
      <c r="U4" t="n">
        <v>1</v>
      </c>
      <c r="V4" s="2" t="inlineStr">
        <is>
          <t>Småvänderot
Backtimjan
Scharlakansvaxing
Ängsfingersvamp</t>
        </is>
      </c>
      <c r="W4">
        <f>HYPERLINK("https://klasma.github.io/Logging_1281/artfynd/A 59733-2023 artfynd.xlsx", "A 59733-2023")</f>
        <v/>
      </c>
      <c r="X4">
        <f>HYPERLINK("https://klasma.github.io/Logging_1281/kartor/A 59733-2023 karta.png", "A 59733-2023")</f>
        <v/>
      </c>
      <c r="Y4">
        <f>HYPERLINK("https://klasma.github.io/Logging_1281/kartor_geotiff/A 59733-2023 georefererad karta.tif", "A 59733-2023")</f>
        <v/>
      </c>
      <c r="AA4">
        <f>HYPERLINK("https://klasma.github.io/Logging_1281/klagomål/A 59733-2023 FSC-klagomål.docx", "A 59733-2023")</f>
        <v/>
      </c>
      <c r="AB4">
        <f>HYPERLINK("https://klasma.github.io/Logging_1281/klagomålsmail/A 59733-2023 FSC-klagomål mail.docx", "A 59733-2023")</f>
        <v/>
      </c>
      <c r="AC4">
        <f>HYPERLINK("https://klasma.github.io/Logging_1281/tillsyn/A 59733-2023 tillsynsbegäran.docx", "A 59733-2023")</f>
        <v/>
      </c>
      <c r="AD4">
        <f>HYPERLINK("https://klasma.github.io/Logging_1281/tillsynsmail/A 59733-2023 tillsynsbegäran mail.docx", "A 59733-2023")</f>
        <v/>
      </c>
    </row>
    <row r="5" ht="15" customHeight="1">
      <c r="A5" t="inlineStr">
        <is>
          <t>A 4816-2025</t>
        </is>
      </c>
      <c r="B5" t="inlineStr">
        <is>
          <t>avverkningsanmälan</t>
        </is>
      </c>
      <c r="C5" t="inlineStr">
        <is>
          <t>Föryngringsavverkning</t>
        </is>
      </c>
      <c r="D5" s="1" t="n">
        <v>45688</v>
      </c>
      <c r="E5" s="1" t="n">
        <v>46268</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46268</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57726-2024</t>
        </is>
      </c>
      <c r="B7" t="inlineStr">
        <is>
          <t>avverkningsanmälan</t>
        </is>
      </c>
      <c r="C7" t="inlineStr">
        <is>
          <t>Föryngringsavverkning</t>
        </is>
      </c>
      <c r="D7" s="1" t="n">
        <v>45630</v>
      </c>
      <c r="E7" s="1" t="n">
        <v>46268</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46268</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46268</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46268</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46268</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46268</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46268</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55158-2023</t>
        </is>
      </c>
      <c r="B14" t="inlineStr">
        <is>
          <t>avverkningsanmälan</t>
        </is>
      </c>
      <c r="C14" t="inlineStr">
        <is>
          <t>Föryngringsavverkning</t>
        </is>
      </c>
      <c r="D14" s="1" t="n">
        <v>45237</v>
      </c>
      <c r="E14" s="1" t="n">
        <v>46268</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11732-2024</t>
        </is>
      </c>
      <c r="B15" t="inlineStr">
        <is>
          <t>avverkningsanmälan</t>
        </is>
      </c>
      <c r="C15" t="inlineStr">
        <is>
          <t>Föryngringsavverkning</t>
        </is>
      </c>
      <c r="D15" s="1" t="n">
        <v>45373</v>
      </c>
      <c r="E15" s="1" t="n">
        <v>46268</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39260-2025</t>
        </is>
      </c>
      <c r="B16" t="inlineStr">
        <is>
          <t>avverkningsanmälan</t>
        </is>
      </c>
      <c r="C16" t="inlineStr">
        <is>
          <t>Föryngringsavverkning</t>
        </is>
      </c>
      <c r="D16" s="1" t="n">
        <v>45889</v>
      </c>
      <c r="E16" s="1" t="n">
        <v>46268</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46268</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46268</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46268</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46268</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46268</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S 2231-2022</t>
        </is>
      </c>
      <c r="B22" t="inlineStr">
        <is>
          <t>samrådsanmälan</t>
        </is>
      </c>
      <c r="C22" t="inlineStr">
        <is>
          <t>Åtgärd i nyckelbiotop</t>
        </is>
      </c>
      <c r="D22" s="1" t="n">
        <v>44679</v>
      </c>
      <c r="E22" s="1" t="n">
        <v>46268</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46268</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5059-2025</t>
        </is>
      </c>
      <c r="B24" t="inlineStr">
        <is>
          <t>avverkningsanmälan</t>
        </is>
      </c>
      <c r="C24" t="inlineStr">
        <is>
          <t>Föryngringsavverkning</t>
        </is>
      </c>
      <c r="D24" s="1" t="n">
        <v>45691</v>
      </c>
      <c r="E24" s="1" t="n">
        <v>46268</v>
      </c>
      <c r="F24" t="inlineStr">
        <is>
          <t>SKÅNE LÄN</t>
        </is>
      </c>
      <c r="G24" t="inlineStr">
        <is>
          <t>LUND</t>
        </is>
      </c>
      <c r="I24" t="n">
        <v>2.3</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46268</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46268</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46268</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58335-2025</t>
        </is>
      </c>
      <c r="B28" t="inlineStr">
        <is>
          <t>avverkningsanmälan</t>
        </is>
      </c>
      <c r="C28" t="inlineStr">
        <is>
          <t>Föryngringsavverkning</t>
        </is>
      </c>
      <c r="D28" s="1" t="n">
        <v>45985</v>
      </c>
      <c r="E28" s="1" t="n">
        <v>46268</v>
      </c>
      <c r="F28" t="inlineStr">
        <is>
          <t>SKÅNE LÄN</t>
        </is>
      </c>
      <c r="G28" t="inlineStr">
        <is>
          <t>LUND</t>
        </is>
      </c>
      <c r="I28" t="n">
        <v>2.5</v>
      </c>
      <c r="J28" t="n">
        <v>0</v>
      </c>
      <c r="K28" t="n">
        <v>0</v>
      </c>
      <c r="L28" t="n">
        <v>0</v>
      </c>
      <c r="M28" t="n">
        <v>0</v>
      </c>
      <c r="N28" t="n">
        <v>0</v>
      </c>
      <c r="O28" t="n">
        <v>0</v>
      </c>
      <c r="P28" t="n">
        <v>0</v>
      </c>
      <c r="Q28" t="n">
        <v>0</v>
      </c>
      <c r="R28" t="n">
        <v>0</v>
      </c>
      <c r="S28" t="n">
        <v>0</v>
      </c>
      <c r="T28" t="n">
        <v>0</v>
      </c>
      <c r="U28" t="n">
        <v>0</v>
      </c>
      <c r="V28" s="2" t="inlineStr"/>
    </row>
    <row r="29" ht="15" customHeight="1">
      <c r="A29" t="inlineStr">
        <is>
          <t>A 58337-2025</t>
        </is>
      </c>
      <c r="B29" t="inlineStr">
        <is>
          <t>avverkningsanmälan</t>
        </is>
      </c>
      <c r="C29" t="inlineStr">
        <is>
          <t>Föryngringsavverkning</t>
        </is>
      </c>
      <c r="D29" s="1" t="n">
        <v>45985</v>
      </c>
      <c r="E29" s="1" t="n">
        <v>46268</v>
      </c>
      <c r="F29" t="inlineStr">
        <is>
          <t>SKÅNE LÄN</t>
        </is>
      </c>
      <c r="G29" t="inlineStr">
        <is>
          <t>LUND</t>
        </is>
      </c>
      <c r="I29" t="n">
        <v>2</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46268</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46268</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46268</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17519-2023</t>
        </is>
      </c>
      <c r="B33" t="inlineStr">
        <is>
          <t>avverkningsanmälan</t>
        </is>
      </c>
      <c r="C33" t="inlineStr">
        <is>
          <t>Avverkning för annat ändamål</t>
        </is>
      </c>
      <c r="D33" s="1" t="n">
        <v>45036</v>
      </c>
      <c r="E33" s="1" t="n">
        <v>46268</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46268</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59918-2022</t>
        </is>
      </c>
      <c r="B35" t="inlineStr">
        <is>
          <t>avverkningsanmälan</t>
        </is>
      </c>
      <c r="C35" t="inlineStr">
        <is>
          <t>Föryngringsavverkning</t>
        </is>
      </c>
      <c r="D35" s="1" t="n">
        <v>44909</v>
      </c>
      <c r="E35" s="1" t="n">
        <v>46268</v>
      </c>
      <c r="F35" t="inlineStr">
        <is>
          <t>SKÅNE LÄN</t>
        </is>
      </c>
      <c r="G35" t="inlineStr">
        <is>
          <t>LUND</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13754-2022</t>
        </is>
      </c>
      <c r="B36" t="inlineStr">
        <is>
          <t>avverkningsanmälan</t>
        </is>
      </c>
      <c r="C36" t="inlineStr">
        <is>
          <t>Föryngringsavverkning</t>
        </is>
      </c>
      <c r="D36" s="1" t="n">
        <v>44649</v>
      </c>
      <c r="E36" s="1" t="n">
        <v>46268</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31773-2023</t>
        </is>
      </c>
      <c r="B37" t="inlineStr">
        <is>
          <t>avverkningsanmälan</t>
        </is>
      </c>
      <c r="C37" t="inlineStr">
        <is>
          <t>Föryngringsavverkning</t>
        </is>
      </c>
      <c r="D37" s="1" t="n">
        <v>45118</v>
      </c>
      <c r="E37" s="1" t="n">
        <v>46268</v>
      </c>
      <c r="F37" t="inlineStr">
        <is>
          <t>SKÅNE LÄN</t>
        </is>
      </c>
      <c r="G37" t="inlineStr">
        <is>
          <t>LUND</t>
        </is>
      </c>
      <c r="H37" t="inlineStr">
        <is>
          <t>Kommuner</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46268</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46268</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46268</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46268</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44646-2023</t>
        </is>
      </c>
      <c r="B42" t="inlineStr">
        <is>
          <t>avverkningsanmälan</t>
        </is>
      </c>
      <c r="C42" t="inlineStr">
        <is>
          <t>Föryngringsavverkning</t>
        </is>
      </c>
      <c r="D42" s="1" t="n">
        <v>45189</v>
      </c>
      <c r="E42" s="1" t="n">
        <v>46268</v>
      </c>
      <c r="F42" t="inlineStr">
        <is>
          <t>SKÅNE LÄN</t>
        </is>
      </c>
      <c r="G42" t="inlineStr">
        <is>
          <t>LUND</t>
        </is>
      </c>
      <c r="I42" t="n">
        <v>3.2</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46268</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46268</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2026-09-03T02:07:22Z</dcterms:created>
  <dcterms:modified xmlns:dcterms="http://purl.org/dc/terms/" xmlns:xsi="http://www.w3.org/2001/XMLSchema-instance" xsi:type="dcterms:W3CDTF">2026-09-03T02:07:22Z</dcterms:modified>
</cp:coreProperties>
</file>