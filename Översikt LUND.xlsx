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45965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45965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45965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45965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45965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45965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45965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45965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45965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45965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39260-2025</t>
        </is>
      </c>
      <c r="B12" s="1" t="n">
        <v>45889.37043981482</v>
      </c>
      <c r="C12" s="1" t="n">
        <v>45965</v>
      </c>
      <c r="D12" t="inlineStr">
        <is>
          <t>SKÅNE LÄN</t>
        </is>
      </c>
      <c r="E12" t="inlineStr">
        <is>
          <t>LUND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HYPERLINK("https://klasma.github.io/Logging_1281/artfynd/A 39260-2025 artfynd.xlsx", "A 39260-2025")</f>
        <v/>
      </c>
      <c r="T12">
        <f>HYPERLINK("https://klasma.github.io/Logging_1281/kartor/A 39260-2025 karta.png", "A 39260-2025")</f>
        <v/>
      </c>
      <c r="V12">
        <f>HYPERLINK("https://klasma.github.io/Logging_1281/klagomål/A 39260-2025 FSC-klagomål.docx", "A 39260-2025")</f>
        <v/>
      </c>
      <c r="W12">
        <f>HYPERLINK("https://klasma.github.io/Logging_1281/klagomålsmail/A 39260-2025 FSC-klagomål mail.docx", "A 39260-2025")</f>
        <v/>
      </c>
      <c r="X12">
        <f>HYPERLINK("https://klasma.github.io/Logging_1281/tillsyn/A 39260-2025 tillsynsbegäran.docx", "A 39260-2025")</f>
        <v/>
      </c>
      <c r="Y12">
        <f>HYPERLINK("https://klasma.github.io/Logging_1281/tillsynsmail/A 39260-2025 tillsynsbegäran mail.docx", "A 39260-2025")</f>
        <v/>
      </c>
    </row>
    <row r="13" ht="15" customHeight="1">
      <c r="A13" t="inlineStr">
        <is>
          <t>A 31764-2023</t>
        </is>
      </c>
      <c r="B13" s="1" t="n">
        <v>45118</v>
      </c>
      <c r="C13" s="1" t="n">
        <v>45965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Skorpdyna</t>
        </is>
      </c>
      <c r="S13">
        <f>HYPERLINK("https://klasma.github.io/Logging_1281/artfynd/A 31764-2023 artfynd.xlsx", "A 31764-2023")</f>
        <v/>
      </c>
      <c r="T13">
        <f>HYPERLINK("https://klasma.github.io/Logging_1281/kartor/A 31764-2023 karta.png", "A 31764-2023")</f>
        <v/>
      </c>
      <c r="V13">
        <f>HYPERLINK("https://klasma.github.io/Logging_1281/klagomål/A 31764-2023 FSC-klagomål.docx", "A 31764-2023")</f>
        <v/>
      </c>
      <c r="W13">
        <f>HYPERLINK("https://klasma.github.io/Logging_1281/klagomålsmail/A 31764-2023 FSC-klagomål mail.docx", "A 31764-2023")</f>
        <v/>
      </c>
      <c r="X13">
        <f>HYPERLINK("https://klasma.github.io/Logging_1281/tillsyn/A 31764-2023 tillsynsbegäran.docx", "A 31764-2023")</f>
        <v/>
      </c>
      <c r="Y13">
        <f>HYPERLINK("https://klasma.github.io/Logging_1281/tillsynsmail/A 31764-2023 tillsynsbegäran mail.docx", "A 31764-2023")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45965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4816-2025</t>
        </is>
      </c>
      <c r="B15" s="1" t="n">
        <v>45688.62052083333</v>
      </c>
      <c r="C15" s="1" t="n">
        <v>45965</v>
      </c>
      <c r="D15" t="inlineStr">
        <is>
          <t>SKÅNE LÄN</t>
        </is>
      </c>
      <c r="E15" t="inlineStr">
        <is>
          <t>LUND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HYPERLINK("https://klasma.github.io/Logging_1281/artfynd/A 4816-2025 artfynd.xlsx", "A 4816-2025")</f>
        <v/>
      </c>
      <c r="T15">
        <f>HYPERLINK("https://klasma.github.io/Logging_1281/kartor/A 4816-2025 karta.png", "A 4816-2025")</f>
        <v/>
      </c>
      <c r="V15">
        <f>HYPERLINK("https://klasma.github.io/Logging_1281/klagomål/A 4816-2025 FSC-klagomål.docx", "A 4816-2025")</f>
        <v/>
      </c>
      <c r="W15">
        <f>HYPERLINK("https://klasma.github.io/Logging_1281/klagomålsmail/A 4816-2025 FSC-klagomål mail.docx", "A 4816-2025")</f>
        <v/>
      </c>
      <c r="X15">
        <f>HYPERLINK("https://klasma.github.io/Logging_1281/tillsyn/A 4816-2025 tillsynsbegäran.docx", "A 4816-2025")</f>
        <v/>
      </c>
      <c r="Y15">
        <f>HYPERLINK("https://klasma.github.io/Logging_1281/tillsynsmail/A 4816-2025 tillsynsbegäran mail.docx", "A 4816-2025")</f>
        <v/>
      </c>
    </row>
    <row r="16" ht="15" customHeight="1">
      <c r="A16" t="inlineStr">
        <is>
          <t>A 4792-2025</t>
        </is>
      </c>
      <c r="B16" s="1" t="n">
        <v>45688.57549768518</v>
      </c>
      <c r="C16" s="1" t="n">
        <v>45965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45965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45965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45965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29083-2023</t>
        </is>
      </c>
      <c r="B20" s="1" t="n">
        <v>45105</v>
      </c>
      <c r="C20" s="1" t="n">
        <v>45965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45965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49297-2023</t>
        </is>
      </c>
      <c r="B22" s="1" t="n">
        <v>45210</v>
      </c>
      <c r="C22" s="1" t="n">
        <v>45965</v>
      </c>
      <c r="D22" t="inlineStr">
        <is>
          <t>SKÅNE LÄN</t>
        </is>
      </c>
      <c r="E22" t="inlineStr">
        <is>
          <t>LUND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8601-2023</t>
        </is>
      </c>
      <c r="B23" s="1" t="n">
        <v>44977</v>
      </c>
      <c r="C23" s="1" t="n">
        <v>45965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33985-2021</t>
        </is>
      </c>
      <c r="B24" s="1" t="n">
        <v>44378</v>
      </c>
      <c r="C24" s="1" t="n">
        <v>45965</v>
      </c>
      <c r="D24" t="inlineStr">
        <is>
          <t>SKÅNE LÄN</t>
        </is>
      </c>
      <c r="E24" t="inlineStr">
        <is>
          <t>LUND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17519-2023</t>
        </is>
      </c>
      <c r="B25" s="1" t="n">
        <v>45036</v>
      </c>
      <c r="C25" s="1" t="n">
        <v>45965</v>
      </c>
      <c r="D25" t="inlineStr">
        <is>
          <t>SKÅNE LÄN</t>
        </is>
      </c>
      <c r="E25" t="inlineStr">
        <is>
          <t>LUND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21767-2023</t>
        </is>
      </c>
      <c r="B26" s="1" t="n">
        <v>45065</v>
      </c>
      <c r="C26" s="1" t="n">
        <v>45965</v>
      </c>
      <c r="D26" t="inlineStr">
        <is>
          <t>SKÅNE LÄN</t>
        </is>
      </c>
      <c r="E26" t="inlineStr">
        <is>
          <t>LUND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45517.42064814815</v>
      </c>
      <c r="C27" s="1" t="n">
        <v>45965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45965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29075-2023</t>
        </is>
      </c>
      <c r="B29" s="1" t="n">
        <v>45104</v>
      </c>
      <c r="C29" s="1" t="n">
        <v>45965</v>
      </c>
      <c r="D29" t="inlineStr">
        <is>
          <t>SKÅNE LÄN</t>
        </is>
      </c>
      <c r="E29" t="inlineStr">
        <is>
          <t>LUND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6034-2025</t>
        </is>
      </c>
      <c r="B30" s="1" t="n">
        <v>45695.64231481482</v>
      </c>
      <c r="C30" s="1" t="n">
        <v>45965</v>
      </c>
      <c r="D30" t="inlineStr">
        <is>
          <t>SKÅNE LÄN</t>
        </is>
      </c>
      <c r="E30" t="inlineStr">
        <is>
          <t>LUND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31773-2023</t>
        </is>
      </c>
      <c r="B31" s="1" t="n">
        <v>45118</v>
      </c>
      <c r="C31" s="1" t="n">
        <v>45965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13754-2022</t>
        </is>
      </c>
      <c r="B32" s="1" t="n">
        <v>44649</v>
      </c>
      <c r="C32" s="1" t="n">
        <v>45965</v>
      </c>
      <c r="D32" t="inlineStr">
        <is>
          <t>SKÅNE LÄN</t>
        </is>
      </c>
      <c r="E32" t="inlineStr">
        <is>
          <t>LUND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59918-2022</t>
        </is>
      </c>
      <c r="B33" s="1" t="n">
        <v>44909</v>
      </c>
      <c r="C33" s="1" t="n">
        <v>45965</v>
      </c>
      <c r="D33" t="inlineStr">
        <is>
          <t>SKÅNE LÄN</t>
        </is>
      </c>
      <c r="E33" t="inlineStr">
        <is>
          <t>LUND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20057-2025</t>
        </is>
      </c>
      <c r="B34" s="1" t="n">
        <v>45772</v>
      </c>
      <c r="C34" s="1" t="n">
        <v>45965</v>
      </c>
      <c r="D34" t="inlineStr">
        <is>
          <t>SKÅNE LÄN</t>
        </is>
      </c>
      <c r="E34" t="inlineStr">
        <is>
          <t>LUND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14058-2025</t>
        </is>
      </c>
      <c r="B35" s="1" t="n">
        <v>45740.40390046296</v>
      </c>
      <c r="C35" s="1" t="n">
        <v>45965</v>
      </c>
      <c r="D35" t="inlineStr">
        <is>
          <t>SKÅNE LÄN</t>
        </is>
      </c>
      <c r="E35" t="inlineStr">
        <is>
          <t>LUND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2248-2025</t>
        </is>
      </c>
      <c r="B36" s="1" t="n">
        <v>45673.49231481482</v>
      </c>
      <c r="C36" s="1" t="n">
        <v>45965</v>
      </c>
      <c r="D36" t="inlineStr">
        <is>
          <t>SKÅNE LÄN</t>
        </is>
      </c>
      <c r="E36" t="inlineStr">
        <is>
          <t>LUND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45965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16499-2025</t>
        </is>
      </c>
      <c r="B38" s="1" t="n">
        <v>45751.60246527778</v>
      </c>
      <c r="C38" s="1" t="n">
        <v>45965</v>
      </c>
      <c r="D38" t="inlineStr">
        <is>
          <t>SKÅNE LÄN</t>
        </is>
      </c>
      <c r="E38" t="inlineStr">
        <is>
          <t>LUND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29247-2025</t>
        </is>
      </c>
      <c r="B39" s="1" t="n">
        <v>45824</v>
      </c>
      <c r="C39" s="1" t="n">
        <v>45965</v>
      </c>
      <c r="D39" t="inlineStr">
        <is>
          <t>SKÅNE LÄN</t>
        </is>
      </c>
      <c r="E39" t="inlineStr">
        <is>
          <t>LUND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59733-2023</t>
        </is>
      </c>
      <c r="B40" s="1" t="n">
        <v>45257</v>
      </c>
      <c r="C40" s="1" t="n">
        <v>45965</v>
      </c>
      <c r="D40" t="inlineStr">
        <is>
          <t>SKÅNE LÄN</t>
        </is>
      </c>
      <c r="E40" t="inlineStr">
        <is>
          <t>LUND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55158-2023</t>
        </is>
      </c>
      <c r="B41" s="1" t="n">
        <v>45237</v>
      </c>
      <c r="C41" s="1" t="n">
        <v>45965</v>
      </c>
      <c r="D41" t="inlineStr">
        <is>
          <t>SKÅNE LÄN</t>
        </is>
      </c>
      <c r="E41" t="inlineStr">
        <is>
          <t>LUND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34484-2025</t>
        </is>
      </c>
      <c r="B42" s="1" t="n">
        <v>45847.39517361111</v>
      </c>
      <c r="C42" s="1" t="n">
        <v>45965</v>
      </c>
      <c r="D42" t="inlineStr">
        <is>
          <t>SKÅNE LÄN</t>
        </is>
      </c>
      <c r="E42" t="inlineStr">
        <is>
          <t>LUND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44646-2023</t>
        </is>
      </c>
      <c r="B43" s="1" t="n">
        <v>45189</v>
      </c>
      <c r="C43" s="1" t="n">
        <v>45965</v>
      </c>
      <c r="D43" t="inlineStr">
        <is>
          <t>SKÅNE LÄN</t>
        </is>
      </c>
      <c r="E43" t="inlineStr">
        <is>
          <t>LUND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15984-2025</t>
        </is>
      </c>
      <c r="B44" s="1" t="n">
        <v>45749</v>
      </c>
      <c r="C44" s="1" t="n">
        <v>45965</v>
      </c>
      <c r="D44" t="inlineStr">
        <is>
          <t>SKÅNE LÄN</t>
        </is>
      </c>
      <c r="E44" t="inlineStr">
        <is>
          <t>LUND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51536-2025</t>
        </is>
      </c>
      <c r="B45" s="1" t="n">
        <v>45950</v>
      </c>
      <c r="C45" s="1" t="n">
        <v>45965</v>
      </c>
      <c r="D45" t="inlineStr">
        <is>
          <t>SKÅNE LÄN</t>
        </is>
      </c>
      <c r="E45" t="inlineStr">
        <is>
          <t>LUND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2025-11-04T10:04:47Z</dcterms:created>
  <dcterms:modified xmlns:dcterms="http://purl.org/dc/terms/" xmlns:xsi="http://www.w3.org/2001/XMLSchema-instance" xsi:type="dcterms:W3CDTF">2025-11-04T10:04:47Z</dcterms:modified>
</cp:coreProperties>
</file>