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46190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46190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46190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46190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46190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46190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46190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46190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35443-2021</t>
        </is>
      </c>
      <c r="B10" s="1" t="n">
        <v>44385</v>
      </c>
      <c r="C10" s="1" t="n">
        <v>46190</v>
      </c>
      <c r="D10" t="inlineStr">
        <is>
          <t>SKÅNE LÄN</t>
        </is>
      </c>
      <c r="E10" t="inlineStr">
        <is>
          <t>LUND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Klubbfibbla</t>
        </is>
      </c>
      <c r="S10">
        <f>HYPERLINK("https://klasma.github.io/Logging_1281/artfynd/A 35443-2021 artfynd.xlsx", "A 35443-2021")</f>
        <v/>
      </c>
      <c r="T10">
        <f>HYPERLINK("https://klasma.github.io/Logging_1281/kartor/A 35443-2021 karta.png", "A 35443-2021")</f>
        <v/>
      </c>
      <c r="V10">
        <f>HYPERLINK("https://klasma.github.io/Logging_1281/klagomål/A 35443-2021 FSC-klagomål.docx", "A 35443-2021")</f>
        <v/>
      </c>
      <c r="W10">
        <f>HYPERLINK("https://klasma.github.io/Logging_1281/klagomålsmail/A 35443-2021 FSC-klagomål mail.docx", "A 35443-2021")</f>
        <v/>
      </c>
      <c r="X10">
        <f>HYPERLINK("https://klasma.github.io/Logging_1281/tillsyn/A 35443-2021 tillsynsbegäran.docx", "A 35443-2021")</f>
        <v/>
      </c>
      <c r="Y10">
        <f>HYPERLINK("https://klasma.github.io/Logging_1281/tillsynsmail/A 35443-2021 tillsynsbegäran mail.docx", "A 35443-2021")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46190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46190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46190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46190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4792-2025</t>
        </is>
      </c>
      <c r="B15" s="1" t="n">
        <v>45688.57549768518</v>
      </c>
      <c r="C15" s="1" t="n">
        <v>46190</v>
      </c>
      <c r="D15" t="inlineStr">
        <is>
          <t>SKÅNE LÄN</t>
        </is>
      </c>
      <c r="E15" t="inlineStr">
        <is>
          <t>LUND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Oxtungssvamp</t>
        </is>
      </c>
      <c r="S15">
        <f>HYPERLINK("https://klasma.github.io/Logging_1281/artfynd/A 4792-2025 artfynd.xlsx", "A 4792-2025")</f>
        <v/>
      </c>
      <c r="T15">
        <f>HYPERLINK("https://klasma.github.io/Logging_1281/kartor/A 4792-2025 karta.png", "A 4792-2025")</f>
        <v/>
      </c>
      <c r="V15">
        <f>HYPERLINK("https://klasma.github.io/Logging_1281/klagomål/A 4792-2025 FSC-klagomål.docx", "A 4792-2025")</f>
        <v/>
      </c>
      <c r="W15">
        <f>HYPERLINK("https://klasma.github.io/Logging_1281/klagomålsmail/A 4792-2025 FSC-klagomål mail.docx", "A 4792-2025")</f>
        <v/>
      </c>
      <c r="X15">
        <f>HYPERLINK("https://klasma.github.io/Logging_1281/tillsyn/A 4792-2025 tillsynsbegäran.docx", "A 4792-2025")</f>
        <v/>
      </c>
      <c r="Y15">
        <f>HYPERLINK("https://klasma.github.io/Logging_1281/tillsynsmail/A 4792-2025 tillsynsbegäran mail.docx", "A 4792-2025")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46190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46190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46190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46190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32972-2024</t>
        </is>
      </c>
      <c r="B20" s="1" t="n">
        <v>45517.42064814815</v>
      </c>
      <c r="C20" s="1" t="n">
        <v>46190</v>
      </c>
      <c r="D20" t="inlineStr">
        <is>
          <t>SKÅNE LÄN</t>
        </is>
      </c>
      <c r="E20" t="inlineStr">
        <is>
          <t>LUND</t>
        </is>
      </c>
      <c r="F20" t="inlineStr">
        <is>
          <t>Kommuner</t>
        </is>
      </c>
      <c r="G20" t="n">
        <v>20.7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46190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46190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29075-2023</t>
        </is>
      </c>
      <c r="B23" s="1" t="n">
        <v>45104</v>
      </c>
      <c r="C23" s="1" t="n">
        <v>46190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46190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46190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46190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45725-2022</t>
        </is>
      </c>
      <c r="B27" s="1" t="n">
        <v>44846</v>
      </c>
      <c r="C27" s="1" t="n">
        <v>46190</v>
      </c>
      <c r="D27" t="inlineStr">
        <is>
          <t>SKÅNE LÄN</t>
        </is>
      </c>
      <c r="E27" t="inlineStr">
        <is>
          <t>LUND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46190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21767-2023</t>
        </is>
      </c>
      <c r="B29" s="1" t="n">
        <v>45065</v>
      </c>
      <c r="C29" s="1" t="n">
        <v>46190</v>
      </c>
      <c r="D29" t="inlineStr">
        <is>
          <t>SKÅNE LÄN</t>
        </is>
      </c>
      <c r="E29" t="inlineStr">
        <is>
          <t>LUND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8601-2023</t>
        </is>
      </c>
      <c r="B30" s="1" t="n">
        <v>44977</v>
      </c>
      <c r="C30" s="1" t="n">
        <v>46190</v>
      </c>
      <c r="D30" t="inlineStr">
        <is>
          <t>SKÅNE LÄN</t>
        </is>
      </c>
      <c r="E30" t="inlineStr">
        <is>
          <t>LUND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20057-2025</t>
        </is>
      </c>
      <c r="B31" s="1" t="n">
        <v>45772</v>
      </c>
      <c r="C31" s="1" t="n">
        <v>46190</v>
      </c>
      <c r="D31" t="inlineStr">
        <is>
          <t>SKÅNE LÄN</t>
        </is>
      </c>
      <c r="E31" t="inlineStr">
        <is>
          <t>LUND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34484-2025</t>
        </is>
      </c>
      <c r="B32" s="1" t="n">
        <v>45847.39517361111</v>
      </c>
      <c r="C32" s="1" t="n">
        <v>46190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46190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58335-2025</t>
        </is>
      </c>
      <c r="B34" s="1" t="n">
        <v>45985.48332175926</v>
      </c>
      <c r="C34" s="1" t="n">
        <v>46190</v>
      </c>
      <c r="D34" t="inlineStr">
        <is>
          <t>SKÅNE LÄN</t>
        </is>
      </c>
      <c r="E34" t="inlineStr">
        <is>
          <t>LUND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46190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58337-2025</t>
        </is>
      </c>
      <c r="B36" s="1" t="n">
        <v>45985.48895833334</v>
      </c>
      <c r="C36" s="1" t="n">
        <v>46190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17519-2023</t>
        </is>
      </c>
      <c r="B37" s="1" t="n">
        <v>45036</v>
      </c>
      <c r="C37" s="1" t="n">
        <v>46190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59206-2025</t>
        </is>
      </c>
      <c r="B38" s="1" t="n">
        <v>45988.60881944445</v>
      </c>
      <c r="C38" s="1" t="n">
        <v>46190</v>
      </c>
      <c r="D38" t="inlineStr">
        <is>
          <t>SKÅNE LÄN</t>
        </is>
      </c>
      <c r="E38" t="inlineStr">
        <is>
          <t>LUND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16499-2025</t>
        </is>
      </c>
      <c r="B39" s="1" t="n">
        <v>45751.60246527778</v>
      </c>
      <c r="C39" s="1" t="n">
        <v>46190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59918-2022</t>
        </is>
      </c>
      <c r="B40" s="1" t="n">
        <v>44909</v>
      </c>
      <c r="C40" s="1" t="n">
        <v>46190</v>
      </c>
      <c r="D40" t="inlineStr">
        <is>
          <t>SKÅNE LÄN</t>
        </is>
      </c>
      <c r="E40" t="inlineStr">
        <is>
          <t>LUND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46190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9889-2026</t>
        </is>
      </c>
      <c r="B42" s="1" t="n">
        <v>46073.368125</v>
      </c>
      <c r="C42" s="1" t="n">
        <v>46190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31773-2023</t>
        </is>
      </c>
      <c r="B43" s="1" t="n">
        <v>45118</v>
      </c>
      <c r="C43" s="1" t="n">
        <v>46190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15984-2025</t>
        </is>
      </c>
      <c r="B44" s="1" t="n">
        <v>45749</v>
      </c>
      <c r="C44" s="1" t="n">
        <v>46190</v>
      </c>
      <c r="D44" t="inlineStr">
        <is>
          <t>SKÅNE LÄN</t>
        </is>
      </c>
      <c r="E44" t="inlineStr">
        <is>
          <t>LUND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46190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49297-2023</t>
        </is>
      </c>
      <c r="B46" s="1" t="n">
        <v>45210</v>
      </c>
      <c r="C46" s="1" t="n">
        <v>46190</v>
      </c>
      <c r="D46" t="inlineStr">
        <is>
          <t>SKÅNE LÄN</t>
        </is>
      </c>
      <c r="E46" t="inlineStr">
        <is>
          <t>LUND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46190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20277-2026</t>
        </is>
      </c>
      <c r="B48" s="1" t="n">
        <v>46139.53665509259</v>
      </c>
      <c r="C48" s="1" t="n">
        <v>46190</v>
      </c>
      <c r="D48" t="inlineStr">
        <is>
          <t>SKÅNE LÄN</t>
        </is>
      </c>
      <c r="E48" t="inlineStr">
        <is>
          <t>LUND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27377-2026</t>
        </is>
      </c>
      <c r="B49" s="1" t="n">
        <v>46189.30135416667</v>
      </c>
      <c r="C49" s="1" t="n">
        <v>46190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2026-06-17T09:22:30Z</dcterms:created>
  <dcterms:modified xmlns:dcterms="http://purl.org/dc/terms/" xmlns:xsi="http://www.w3.org/2001/XMLSchema-instance" xsi:type="dcterms:W3CDTF">2026-06-17T09:22:30Z</dcterms:modified>
</cp:coreProperties>
</file>