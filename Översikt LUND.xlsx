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45885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45885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45885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4746-2025</t>
        </is>
      </c>
      <c r="B8" s="1" t="n">
        <v>45688.46011574074</v>
      </c>
      <c r="C8" s="1" t="n">
        <v>45885</v>
      </c>
      <c r="D8" t="inlineStr">
        <is>
          <t>SKÅNE LÄN</t>
        </is>
      </c>
      <c r="E8" t="inlineStr">
        <is>
          <t>LUND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HYPERLINK("https://klasma.github.io/Logging_1281/artfynd/A 4746-2025 artfynd.xlsx", "A 4746-2025")</f>
        <v/>
      </c>
      <c r="T8">
        <f>HYPERLINK("https://klasma.github.io/Logging_1281/kartor/A 4746-2025 karta.png", "A 4746-2025")</f>
        <v/>
      </c>
      <c r="V8">
        <f>HYPERLINK("https://klasma.github.io/Logging_1281/klagomål/A 4746-2025 FSC-klagomål.docx", "A 4746-2025")</f>
        <v/>
      </c>
      <c r="W8">
        <f>HYPERLINK("https://klasma.github.io/Logging_1281/klagomålsmail/A 4746-2025 FSC-klagomål mail.docx", "A 4746-2025")</f>
        <v/>
      </c>
      <c r="X8">
        <f>HYPERLINK("https://klasma.github.io/Logging_1281/tillsyn/A 4746-2025 tillsynsbegäran.docx", "A 4746-2025")</f>
        <v/>
      </c>
      <c r="Y8">
        <f>HYPERLINK("https://klasma.github.io/Logging_1281/tillsynsmail/A 4746-2025 tillsynsbegäran mail.docx", "A 4746-2025")</f>
        <v/>
      </c>
      <c r="Z8">
        <f>HYPERLINK("https://klasma.github.io/Logging_1281/fåglar/A 4746-2025 prioriterade fågelarter.docx", "A 4746-2025")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45885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45885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35443-2021</t>
        </is>
      </c>
      <c r="B11" s="1" t="n">
        <v>44385</v>
      </c>
      <c r="C11" s="1" t="n">
        <v>45885</v>
      </c>
      <c r="D11" t="inlineStr">
        <is>
          <t>SKÅNE LÄN</t>
        </is>
      </c>
      <c r="E11" t="inlineStr">
        <is>
          <t>LUND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Klubbfibbla</t>
        </is>
      </c>
      <c r="S11">
        <f>HYPERLINK("https://klasma.github.io/Logging_1281/artfynd/A 35443-2021 artfynd.xlsx", "A 35443-2021")</f>
        <v/>
      </c>
      <c r="T11">
        <f>HYPERLINK("https://klasma.github.io/Logging_1281/kartor/A 35443-2021 karta.png", "A 35443-2021")</f>
        <v/>
      </c>
      <c r="V11">
        <f>HYPERLINK("https://klasma.github.io/Logging_1281/klagomål/A 35443-2021 FSC-klagomål.docx", "A 35443-2021")</f>
        <v/>
      </c>
      <c r="W11">
        <f>HYPERLINK("https://klasma.github.io/Logging_1281/klagomålsmail/A 35443-2021 FSC-klagomål mail.docx", "A 35443-2021")</f>
        <v/>
      </c>
      <c r="X11">
        <f>HYPERLINK("https://klasma.github.io/Logging_1281/tillsyn/A 35443-2021 tillsynsbegäran.docx", "A 35443-2021")</f>
        <v/>
      </c>
      <c r="Y11">
        <f>HYPERLINK("https://klasma.github.io/Logging_1281/tillsynsmail/A 35443-2021 tillsynsbegäran mail.docx", "A 35443-2021")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45885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11732-2024</t>
        </is>
      </c>
      <c r="B13" s="1" t="n">
        <v>45373.69222222222</v>
      </c>
      <c r="C13" s="1" t="n">
        <v>45885</v>
      </c>
      <c r="D13" t="inlineStr">
        <is>
          <t>SKÅNE LÄN</t>
        </is>
      </c>
      <c r="E13" t="inlineStr">
        <is>
          <t>LUND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HYPERLINK("https://klasma.github.io/Logging_1281/artfynd/A 11732-2024 artfynd.xlsx", "A 11732-2024")</f>
        <v/>
      </c>
      <c r="T13">
        <f>HYPERLINK("https://klasma.github.io/Logging_1281/kartor/A 11732-2024 karta.png", "A 11732-2024")</f>
        <v/>
      </c>
      <c r="V13">
        <f>HYPERLINK("https://klasma.github.io/Logging_1281/klagomål/A 11732-2024 FSC-klagomål.docx", "A 11732-2024")</f>
        <v/>
      </c>
      <c r="W13">
        <f>HYPERLINK("https://klasma.github.io/Logging_1281/klagomålsmail/A 11732-2024 FSC-klagomål mail.docx", "A 11732-2024")</f>
        <v/>
      </c>
      <c r="X13">
        <f>HYPERLINK("https://klasma.github.io/Logging_1281/tillsyn/A 11732-2024 tillsynsbegäran.docx", "A 11732-2024")</f>
        <v/>
      </c>
      <c r="Y13">
        <f>HYPERLINK("https://klasma.github.io/Logging_1281/tillsynsmail/A 11732-2024 tillsynsbegäran mail.docx", "A 11732-2024")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45885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45885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22411-2021</t>
        </is>
      </c>
      <c r="B16" s="1" t="n">
        <v>44326</v>
      </c>
      <c r="C16" s="1" t="n">
        <v>45885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48295-2020</t>
        </is>
      </c>
      <c r="B17" s="1" t="n">
        <v>44102</v>
      </c>
      <c r="C17" s="1" t="n">
        <v>45885</v>
      </c>
      <c r="D17" t="inlineStr">
        <is>
          <t>SKÅNE LÄN</t>
        </is>
      </c>
      <c r="E17" t="inlineStr">
        <is>
          <t>LUND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45885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45885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21767-2023</t>
        </is>
      </c>
      <c r="B20" s="1" t="n">
        <v>45065</v>
      </c>
      <c r="C20" s="1" t="n">
        <v>45885</v>
      </c>
      <c r="D20" t="inlineStr">
        <is>
          <t>SKÅNE LÄN</t>
        </is>
      </c>
      <c r="E20" t="inlineStr">
        <is>
          <t>LUND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45885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22088-2025</t>
        </is>
      </c>
      <c r="B22" s="1" t="n">
        <v>45785.44978009259</v>
      </c>
      <c r="C22" s="1" t="n">
        <v>45885</v>
      </c>
      <c r="D22" t="inlineStr">
        <is>
          <t>SKÅNE LÄN</t>
        </is>
      </c>
      <c r="E22" t="inlineStr">
        <is>
          <t>LUND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31773-2023</t>
        </is>
      </c>
      <c r="B23" s="1" t="n">
        <v>45118</v>
      </c>
      <c r="C23" s="1" t="n">
        <v>45885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13754-2022</t>
        </is>
      </c>
      <c r="B24" s="1" t="n">
        <v>44649</v>
      </c>
      <c r="C24" s="1" t="n">
        <v>45885</v>
      </c>
      <c r="D24" t="inlineStr">
        <is>
          <t>SKÅNE LÄN</t>
        </is>
      </c>
      <c r="E24" t="inlineStr">
        <is>
          <t>LUND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45885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34484-2025</t>
        </is>
      </c>
      <c r="B26" s="1" t="n">
        <v>45847.39517361111</v>
      </c>
      <c r="C26" s="1" t="n">
        <v>45885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45885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45885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16499-2025</t>
        </is>
      </c>
      <c r="B29" s="1" t="n">
        <v>45751.60246527778</v>
      </c>
      <c r="C29" s="1" t="n">
        <v>45885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45885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45885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59733-2023</t>
        </is>
      </c>
      <c r="B32" s="1" t="n">
        <v>45257</v>
      </c>
      <c r="C32" s="1" t="n">
        <v>45885</v>
      </c>
      <c r="D32" t="inlineStr">
        <is>
          <t>SKÅNE LÄN</t>
        </is>
      </c>
      <c r="E32" t="inlineStr">
        <is>
          <t>LUND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55158-2023</t>
        </is>
      </c>
      <c r="B33" s="1" t="n">
        <v>45237</v>
      </c>
      <c r="C33" s="1" t="n">
        <v>45885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45885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5059-2025</t>
        </is>
      </c>
      <c r="B35" s="1" t="n">
        <v>45691.47211805556</v>
      </c>
      <c r="C35" s="1" t="n">
        <v>45885</v>
      </c>
      <c r="D35" t="inlineStr">
        <is>
          <t>SKÅNE LÄN</t>
        </is>
      </c>
      <c r="E35" t="inlineStr">
        <is>
          <t>LUND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45885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4803-2025</t>
        </is>
      </c>
      <c r="B37" s="1" t="n">
        <v>45688.59399305555</v>
      </c>
      <c r="C37" s="1" t="n">
        <v>45885</v>
      </c>
      <c r="D37" t="inlineStr">
        <is>
          <t>SKÅNE LÄN</t>
        </is>
      </c>
      <c r="E37" t="inlineStr">
        <is>
          <t>LUND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4761-2025</t>
        </is>
      </c>
      <c r="B38" s="1" t="n">
        <v>45688.47814814815</v>
      </c>
      <c r="C38" s="1" t="n">
        <v>45885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4788-2025</t>
        </is>
      </c>
      <c r="B39" s="1" t="n">
        <v>45688.569375</v>
      </c>
      <c r="C39" s="1" t="n">
        <v>45885</v>
      </c>
      <c r="D39" t="inlineStr">
        <is>
          <t>SKÅNE LÄN</t>
        </is>
      </c>
      <c r="E39" t="inlineStr">
        <is>
          <t>LUND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45885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45885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45885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45885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14058-2025</t>
        </is>
      </c>
      <c r="B44" s="1" t="n">
        <v>45740.40390046296</v>
      </c>
      <c r="C44" s="1" t="n">
        <v>45885</v>
      </c>
      <c r="D44" t="inlineStr">
        <is>
          <t>SKÅNE LÄN</t>
        </is>
      </c>
      <c r="E44" t="inlineStr">
        <is>
          <t>LUND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49297-2023</t>
        </is>
      </c>
      <c r="B45" s="1" t="n">
        <v>45210</v>
      </c>
      <c r="C45" s="1" t="n">
        <v>45885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4755-2025</t>
        </is>
      </c>
      <c r="B46" s="1" t="n">
        <v>45688.46853009259</v>
      </c>
      <c r="C46" s="1" t="n">
        <v>45885</v>
      </c>
      <c r="D46" t="inlineStr">
        <is>
          <t>SKÅNE LÄN</t>
        </is>
      </c>
      <c r="E46" t="inlineStr">
        <is>
          <t>LUND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2248-2025</t>
        </is>
      </c>
      <c r="B47" s="1" t="n">
        <v>45673.49231481482</v>
      </c>
      <c r="C47" s="1" t="n">
        <v>45885</v>
      </c>
      <c r="D47" t="inlineStr">
        <is>
          <t>SKÅNE LÄN</t>
        </is>
      </c>
      <c r="E47" t="inlineStr">
        <is>
          <t>LUND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45885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4811-2025</t>
        </is>
      </c>
      <c r="B49" s="1" t="n">
        <v>45688.60861111111</v>
      </c>
      <c r="C49" s="1" t="n">
        <v>45885</v>
      </c>
      <c r="D49" t="inlineStr">
        <is>
          <t>SKÅNE LÄN</t>
        </is>
      </c>
      <c r="E49" t="inlineStr">
        <is>
          <t>LUND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8601-2023</t>
        </is>
      </c>
      <c r="B50" s="1" t="n">
        <v>44977</v>
      </c>
      <c r="C50" s="1" t="n">
        <v>45885</v>
      </c>
      <c r="D50" t="inlineStr">
        <is>
          <t>SKÅNE LÄN</t>
        </is>
      </c>
      <c r="E50" t="inlineStr">
        <is>
          <t>LUND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2025-08-16T08:27:22Z</dcterms:created>
  <dcterms:modified xmlns:dcterms="http://purl.org/dc/terms/" xmlns:xsi="http://www.w3.org/2001/XMLSchema-instance" xsi:type="dcterms:W3CDTF">2025-08-16T08:27:22Z</dcterms:modified>
</cp:coreProperties>
</file>