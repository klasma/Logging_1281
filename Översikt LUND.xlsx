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46040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46040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46040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46040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46040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46040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46040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46040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59227-2025</t>
        </is>
      </c>
      <c r="B10" s="1" t="n">
        <v>45988.62253472222</v>
      </c>
      <c r="C10" s="1" t="n">
        <v>46040</v>
      </c>
      <c r="D10" t="inlineStr">
        <is>
          <t>SKÅNE LÄN</t>
        </is>
      </c>
      <c r="E10" t="inlineStr">
        <is>
          <t>LUND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HYPERLINK("https://klasma.github.io/Logging_1281/artfynd/A 59227-2025 artfynd.xlsx", "A 59227-2025")</f>
        <v/>
      </c>
      <c r="T10">
        <f>HYPERLINK("https://klasma.github.io/Logging_1281/kartor/A 59227-2025 karta.png", "A 59227-2025")</f>
        <v/>
      </c>
      <c r="V10">
        <f>HYPERLINK("https://klasma.github.io/Logging_1281/klagomål/A 59227-2025 FSC-klagomål.docx", "A 59227-2025")</f>
        <v/>
      </c>
      <c r="W10">
        <f>HYPERLINK("https://klasma.github.io/Logging_1281/klagomålsmail/A 59227-2025 FSC-klagomål mail.docx", "A 59227-2025")</f>
        <v/>
      </c>
      <c r="X10">
        <f>HYPERLINK("https://klasma.github.io/Logging_1281/tillsyn/A 59227-2025 tillsynsbegäran.docx", "A 59227-2025")</f>
        <v/>
      </c>
      <c r="Y10">
        <f>HYPERLINK("https://klasma.github.io/Logging_1281/tillsynsmail/A 59227-2025 tillsynsbegäran mail.docx", "A 59227-2025")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46040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46040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46040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11732-2024</t>
        </is>
      </c>
      <c r="B14" s="1" t="n">
        <v>45373.69222222222</v>
      </c>
      <c r="C14" s="1" t="n">
        <v>46040</v>
      </c>
      <c r="D14" t="inlineStr">
        <is>
          <t>SKÅNE LÄN</t>
        </is>
      </c>
      <c r="E14" t="inlineStr">
        <is>
          <t>LUND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HYPERLINK("https://klasma.github.io/Logging_1281/artfynd/A 11732-2024 artfynd.xlsx", "A 11732-2024")</f>
        <v/>
      </c>
      <c r="T14">
        <f>HYPERLINK("https://klasma.github.io/Logging_1281/kartor/A 11732-2024 karta.png", "A 11732-2024")</f>
        <v/>
      </c>
      <c r="V14">
        <f>HYPERLINK("https://klasma.github.io/Logging_1281/klagomål/A 11732-2024 FSC-klagomål.docx", "A 11732-2024")</f>
        <v/>
      </c>
      <c r="W14">
        <f>HYPERLINK("https://klasma.github.io/Logging_1281/klagomålsmail/A 11732-2024 FSC-klagomål mail.docx", "A 11732-2024")</f>
        <v/>
      </c>
      <c r="X14">
        <f>HYPERLINK("https://klasma.github.io/Logging_1281/tillsyn/A 11732-2024 tillsynsbegäran.docx", "A 11732-2024")</f>
        <v/>
      </c>
      <c r="Y14">
        <f>HYPERLINK("https://klasma.github.io/Logging_1281/tillsynsmail/A 11732-2024 tillsynsbegäran mail.docx", "A 11732-2024")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46040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46040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46040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46040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46040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46040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46040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46040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46040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21767-2023</t>
        </is>
      </c>
      <c r="B24" s="1" t="n">
        <v>45065</v>
      </c>
      <c r="C24" s="1" t="n">
        <v>46040</v>
      </c>
      <c r="D24" t="inlineStr">
        <is>
          <t>SKÅNE LÄN</t>
        </is>
      </c>
      <c r="E24" t="inlineStr">
        <is>
          <t>LUND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45725-2022</t>
        </is>
      </c>
      <c r="B25" s="1" t="n">
        <v>44846</v>
      </c>
      <c r="C25" s="1" t="n">
        <v>46040</v>
      </c>
      <c r="D25" t="inlineStr">
        <is>
          <t>SKÅNE LÄN</t>
        </is>
      </c>
      <c r="E25" t="inlineStr">
        <is>
          <t>LUND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58337-2025</t>
        </is>
      </c>
      <c r="B26" s="1" t="n">
        <v>45985.48895833334</v>
      </c>
      <c r="C26" s="1" t="n">
        <v>46040</v>
      </c>
      <c r="D26" t="inlineStr">
        <is>
          <t>SKÅNE LÄN</t>
        </is>
      </c>
      <c r="E26" t="inlineStr">
        <is>
          <t>LUND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58488-2025</t>
        </is>
      </c>
      <c r="B27" s="1" t="n">
        <v>45985.66210648148</v>
      </c>
      <c r="C27" s="1" t="n">
        <v>46040</v>
      </c>
      <c r="D27" t="inlineStr">
        <is>
          <t>SKÅNE LÄN</t>
        </is>
      </c>
      <c r="E27" t="inlineStr">
        <is>
          <t>LUND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58335-2025</t>
        </is>
      </c>
      <c r="B28" s="1" t="n">
        <v>45985.48332175926</v>
      </c>
      <c r="C28" s="1" t="n">
        <v>46040</v>
      </c>
      <c r="D28" t="inlineStr">
        <is>
          <t>SKÅNE LÄN</t>
        </is>
      </c>
      <c r="E28" t="inlineStr">
        <is>
          <t>LUND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59206-2025</t>
        </is>
      </c>
      <c r="B29" s="1" t="n">
        <v>45988.60881944445</v>
      </c>
      <c r="C29" s="1" t="n">
        <v>46040</v>
      </c>
      <c r="D29" t="inlineStr">
        <is>
          <t>SKÅNE LÄN</t>
        </is>
      </c>
      <c r="E29" t="inlineStr">
        <is>
          <t>LUND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33985-2021</t>
        </is>
      </c>
      <c r="B30" s="1" t="n">
        <v>44378</v>
      </c>
      <c r="C30" s="1" t="n">
        <v>46040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31773-2023</t>
        </is>
      </c>
      <c r="B31" s="1" t="n">
        <v>45118</v>
      </c>
      <c r="C31" s="1" t="n">
        <v>46040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46040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46040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46040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59733-2023</t>
        </is>
      </c>
      <c r="B35" s="1" t="n">
        <v>45257</v>
      </c>
      <c r="C35" s="1" t="n">
        <v>46040</v>
      </c>
      <c r="D35" t="inlineStr">
        <is>
          <t>SKÅNE LÄN</t>
        </is>
      </c>
      <c r="E35" t="inlineStr">
        <is>
          <t>LUND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55158-2023</t>
        </is>
      </c>
      <c r="B36" s="1" t="n">
        <v>45237</v>
      </c>
      <c r="C36" s="1" t="n">
        <v>46040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32972-2024</t>
        </is>
      </c>
      <c r="B37" s="1" t="n">
        <v>45517.42064814815</v>
      </c>
      <c r="C37" s="1" t="n">
        <v>46040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20.7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5059-2025</t>
        </is>
      </c>
      <c r="B38" s="1" t="n">
        <v>45691.47211805556</v>
      </c>
      <c r="C38" s="1" t="n">
        <v>46040</v>
      </c>
      <c r="D38" t="inlineStr">
        <is>
          <t>SKÅNE LÄN</t>
        </is>
      </c>
      <c r="E38" t="inlineStr">
        <is>
          <t>LUND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29075-2023</t>
        </is>
      </c>
      <c r="B39" s="1" t="n">
        <v>45104</v>
      </c>
      <c r="C39" s="1" t="n">
        <v>46040</v>
      </c>
      <c r="D39" t="inlineStr">
        <is>
          <t>SKÅNE LÄN</t>
        </is>
      </c>
      <c r="E39" t="inlineStr">
        <is>
          <t>LUND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44646-2023</t>
        </is>
      </c>
      <c r="B40" s="1" t="n">
        <v>45189</v>
      </c>
      <c r="C40" s="1" t="n">
        <v>46040</v>
      </c>
      <c r="D40" t="inlineStr">
        <is>
          <t>SKÅNE LÄN</t>
        </is>
      </c>
      <c r="E40" t="inlineStr">
        <is>
          <t>LUND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15984-2025</t>
        </is>
      </c>
      <c r="B41" s="1" t="n">
        <v>45749</v>
      </c>
      <c r="C41" s="1" t="n">
        <v>46040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29083-2023</t>
        </is>
      </c>
      <c r="B42" s="1" t="n">
        <v>45105</v>
      </c>
      <c r="C42" s="1" t="n">
        <v>46040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46040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46040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46040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14058-2025</t>
        </is>
      </c>
      <c r="B46" s="1" t="n">
        <v>45740.40390046296</v>
      </c>
      <c r="C46" s="1" t="n">
        <v>46040</v>
      </c>
      <c r="D46" t="inlineStr">
        <is>
          <t>SKÅNE LÄN</t>
        </is>
      </c>
      <c r="E46" t="inlineStr">
        <is>
          <t>LUND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20057-2025</t>
        </is>
      </c>
      <c r="B47" s="1" t="n">
        <v>45772</v>
      </c>
      <c r="C47" s="1" t="n">
        <v>46040</v>
      </c>
      <c r="D47" t="inlineStr">
        <is>
          <t>SKÅNE LÄN</t>
        </is>
      </c>
      <c r="E47" t="inlineStr">
        <is>
          <t>LUND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29247-2025</t>
        </is>
      </c>
      <c r="B48" s="1" t="n">
        <v>45824</v>
      </c>
      <c r="C48" s="1" t="n">
        <v>46040</v>
      </c>
      <c r="D48" t="inlineStr">
        <is>
          <t>SKÅNE LÄN</t>
        </is>
      </c>
      <c r="E48" t="inlineStr">
        <is>
          <t>LUND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34484-2025</t>
        </is>
      </c>
      <c r="B49" s="1" t="n">
        <v>45847.39517361111</v>
      </c>
      <c r="C49" s="1" t="n">
        <v>46040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2026-01-18T11:00:30Z</dcterms:created>
  <dcterms:modified xmlns:dcterms="http://purl.org/dc/terms/" xmlns:xsi="http://www.w3.org/2001/XMLSchema-instance" xsi:type="dcterms:W3CDTF">2026-01-18T11:00:30Z</dcterms:modified>
</cp:coreProperties>
</file>