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45981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45981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45981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45981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45981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45981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45981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45981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45981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45981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45981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35443-2021</t>
        </is>
      </c>
      <c r="B13" s="1" t="n">
        <v>44385</v>
      </c>
      <c r="C13" s="1" t="n">
        <v>45981</v>
      </c>
      <c r="D13" t="inlineStr">
        <is>
          <t>SKÅNE LÄN</t>
        </is>
      </c>
      <c r="E13" t="inlineStr">
        <is>
          <t>LUND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Klubbfibbla</t>
        </is>
      </c>
      <c r="S13">
        <f>HYPERLINK("https://klasma.github.io/Logging_1281/artfynd/A 35443-2021 artfynd.xlsx", "A 35443-2021")</f>
        <v/>
      </c>
      <c r="T13">
        <f>HYPERLINK("https://klasma.github.io/Logging_1281/kartor/A 35443-2021 karta.png", "A 35443-2021")</f>
        <v/>
      </c>
      <c r="V13">
        <f>HYPERLINK("https://klasma.github.io/Logging_1281/klagomål/A 35443-2021 FSC-klagomål.docx", "A 35443-2021")</f>
        <v/>
      </c>
      <c r="W13">
        <f>HYPERLINK("https://klasma.github.io/Logging_1281/klagomålsmail/A 35443-2021 FSC-klagomål mail.docx", "A 35443-2021")</f>
        <v/>
      </c>
      <c r="X13">
        <f>HYPERLINK("https://klasma.github.io/Logging_1281/tillsyn/A 35443-2021 tillsynsbegäran.docx", "A 35443-2021")</f>
        <v/>
      </c>
      <c r="Y13">
        <f>HYPERLINK("https://klasma.github.io/Logging_1281/tillsynsmail/A 35443-2021 tillsynsbegäran mail.docx", "A 35443-2021")</f>
        <v/>
      </c>
    </row>
    <row r="14" ht="15" customHeight="1">
      <c r="A14" t="inlineStr">
        <is>
          <t>A 31764-2023</t>
        </is>
      </c>
      <c r="B14" s="1" t="n">
        <v>45118</v>
      </c>
      <c r="C14" s="1" t="n">
        <v>45981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Skorpdyna</t>
        </is>
      </c>
      <c r="S14">
        <f>HYPERLINK("https://klasma.github.io/Logging_1281/artfynd/A 31764-2023 artfynd.xlsx", "A 31764-2023")</f>
        <v/>
      </c>
      <c r="T14">
        <f>HYPERLINK("https://klasma.github.io/Logging_1281/kartor/A 31764-2023 karta.png", "A 31764-2023")</f>
        <v/>
      </c>
      <c r="V14">
        <f>HYPERLINK("https://klasma.github.io/Logging_1281/klagomål/A 31764-2023 FSC-klagomål.docx", "A 31764-2023")</f>
        <v/>
      </c>
      <c r="W14">
        <f>HYPERLINK("https://klasma.github.io/Logging_1281/klagomålsmail/A 31764-2023 FSC-klagomål mail.docx", "A 31764-2023")</f>
        <v/>
      </c>
      <c r="X14">
        <f>HYPERLINK("https://klasma.github.io/Logging_1281/tillsyn/A 31764-2023 tillsynsbegäran.docx", "A 31764-2023")</f>
        <v/>
      </c>
      <c r="Y14">
        <f>HYPERLINK("https://klasma.github.io/Logging_1281/tillsynsmail/A 31764-2023 tillsynsbegäran mail.docx", "A 31764-2023")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45981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45688.62052083333</v>
      </c>
      <c r="C16" s="1" t="n">
        <v>45981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45981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45981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14058-2025</t>
        </is>
      </c>
      <c r="B19" s="1" t="n">
        <v>45740.40390046296</v>
      </c>
      <c r="C19" s="1" t="n">
        <v>45981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45981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45981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45981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45981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45981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45981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17519-2023</t>
        </is>
      </c>
      <c r="B26" s="1" t="n">
        <v>45036</v>
      </c>
      <c r="C26" s="1" t="n">
        <v>45981</v>
      </c>
      <c r="D26" t="inlineStr">
        <is>
          <t>SKÅNE LÄN</t>
        </is>
      </c>
      <c r="E26" t="inlineStr">
        <is>
          <t>LUND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16499-2025</t>
        </is>
      </c>
      <c r="B27" s="1" t="n">
        <v>45751.60246527778</v>
      </c>
      <c r="C27" s="1" t="n">
        <v>45981</v>
      </c>
      <c r="D27" t="inlineStr">
        <is>
          <t>SKÅNE LÄN</t>
        </is>
      </c>
      <c r="E27" t="inlineStr">
        <is>
          <t>LUND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20057-2025</t>
        </is>
      </c>
      <c r="B28" s="1" t="n">
        <v>45772</v>
      </c>
      <c r="C28" s="1" t="n">
        <v>45981</v>
      </c>
      <c r="D28" t="inlineStr">
        <is>
          <t>SKÅNE LÄN</t>
        </is>
      </c>
      <c r="E28" t="inlineStr">
        <is>
          <t>LUND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45981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45981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45981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32972-2024</t>
        </is>
      </c>
      <c r="B32" s="1" t="n">
        <v>45517.42064814815</v>
      </c>
      <c r="C32" s="1" t="n">
        <v>45981</v>
      </c>
      <c r="D32" t="inlineStr">
        <is>
          <t>SKÅNE LÄN</t>
        </is>
      </c>
      <c r="E32" t="inlineStr">
        <is>
          <t>LUND</t>
        </is>
      </c>
      <c r="F32" t="inlineStr">
        <is>
          <t>Kommuner</t>
        </is>
      </c>
      <c r="G32" t="n">
        <v>20.7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31773-2023</t>
        </is>
      </c>
      <c r="B33" s="1" t="n">
        <v>45118</v>
      </c>
      <c r="C33" s="1" t="n">
        <v>45981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51536-2025</t>
        </is>
      </c>
      <c r="B34" s="1" t="n">
        <v>45950</v>
      </c>
      <c r="C34" s="1" t="n">
        <v>45981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29075-2023</t>
        </is>
      </c>
      <c r="B35" s="1" t="n">
        <v>45104</v>
      </c>
      <c r="C35" s="1" t="n">
        <v>45981</v>
      </c>
      <c r="D35" t="inlineStr">
        <is>
          <t>SKÅNE LÄN</t>
        </is>
      </c>
      <c r="E35" t="inlineStr">
        <is>
          <t>LUND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29247-2025</t>
        </is>
      </c>
      <c r="B36" s="1" t="n">
        <v>45824</v>
      </c>
      <c r="C36" s="1" t="n">
        <v>45981</v>
      </c>
      <c r="D36" t="inlineStr">
        <is>
          <t>SKÅNE LÄN</t>
        </is>
      </c>
      <c r="E36" t="inlineStr">
        <is>
          <t>LUND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15984-2025</t>
        </is>
      </c>
      <c r="B37" s="1" t="n">
        <v>45749</v>
      </c>
      <c r="C37" s="1" t="n">
        <v>45981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29083-2023</t>
        </is>
      </c>
      <c r="B38" s="1" t="n">
        <v>45105</v>
      </c>
      <c r="C38" s="1" t="n">
        <v>45981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33985-2021</t>
        </is>
      </c>
      <c r="B39" s="1" t="n">
        <v>44378</v>
      </c>
      <c r="C39" s="1" t="n">
        <v>45981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45981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49297-2023</t>
        </is>
      </c>
      <c r="B41" s="1" t="n">
        <v>45210</v>
      </c>
      <c r="C41" s="1" t="n">
        <v>45981</v>
      </c>
      <c r="D41" t="inlineStr">
        <is>
          <t>SKÅNE LÄN</t>
        </is>
      </c>
      <c r="E41" t="inlineStr">
        <is>
          <t>LUND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21767-2023</t>
        </is>
      </c>
      <c r="B42" s="1" t="n">
        <v>45065</v>
      </c>
      <c r="C42" s="1" t="n">
        <v>45981</v>
      </c>
      <c r="D42" t="inlineStr">
        <is>
          <t>SKÅNE LÄN</t>
        </is>
      </c>
      <c r="E42" t="inlineStr">
        <is>
          <t>LUND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45981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44646-2023</t>
        </is>
      </c>
      <c r="B44" s="1" t="n">
        <v>45189</v>
      </c>
      <c r="C44" s="1" t="n">
        <v>45981</v>
      </c>
      <c r="D44" t="inlineStr">
        <is>
          <t>SKÅNE LÄN</t>
        </is>
      </c>
      <c r="E44" t="inlineStr">
        <is>
          <t>LUND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34484-2025</t>
        </is>
      </c>
      <c r="B45" s="1" t="n">
        <v>45847.39517361111</v>
      </c>
      <c r="C45" s="1" t="n">
        <v>45981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2025-11-20T16:58:32Z</dcterms:created>
  <dcterms:modified xmlns:dcterms="http://purl.org/dc/terms/" xmlns:xsi="http://www.w3.org/2001/XMLSchema-instance" xsi:type="dcterms:W3CDTF">2025-11-20T16:58:32Z</dcterms:modified>
</cp:coreProperties>
</file>