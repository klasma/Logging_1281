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46138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46138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46138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46138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46138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46138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46138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46138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46138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46138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11732-2024</t>
        </is>
      </c>
      <c r="B12" s="1" t="n">
        <v>45373.69222222222</v>
      </c>
      <c r="C12" s="1" t="n">
        <v>46138</v>
      </c>
      <c r="D12" t="inlineStr">
        <is>
          <t>SKÅNE LÄN</t>
        </is>
      </c>
      <c r="E12" t="inlineStr">
        <is>
          <t>LUND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HYPERLINK("https://klasma.github.io/Logging_1281/artfynd/A 11732-2024 artfynd.xlsx", "A 11732-2024")</f>
        <v/>
      </c>
      <c r="T12">
        <f>HYPERLINK("https://klasma.github.io/Logging_1281/kartor/A 11732-2024 karta.png", "A 11732-2024")</f>
        <v/>
      </c>
      <c r="V12">
        <f>HYPERLINK("https://klasma.github.io/Logging_1281/klagomål/A 11732-2024 FSC-klagomål.docx", "A 11732-2024")</f>
        <v/>
      </c>
      <c r="W12">
        <f>HYPERLINK("https://klasma.github.io/Logging_1281/klagomålsmail/A 11732-2024 FSC-klagomål mail.docx", "A 11732-2024")</f>
        <v/>
      </c>
      <c r="X12">
        <f>HYPERLINK("https://klasma.github.io/Logging_1281/tillsyn/A 11732-2024 tillsynsbegäran.docx", "A 11732-2024")</f>
        <v/>
      </c>
      <c r="Y12">
        <f>HYPERLINK("https://klasma.github.io/Logging_1281/tillsynsmail/A 11732-2024 tillsynsbegäran mail.docx", "A 11732-2024")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46138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46138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46138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46138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46138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46138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46138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46138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46138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46138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44646-2023</t>
        </is>
      </c>
      <c r="B23" s="1" t="n">
        <v>45189</v>
      </c>
      <c r="C23" s="1" t="n">
        <v>46138</v>
      </c>
      <c r="D23" t="inlineStr">
        <is>
          <t>SKÅNE LÄN</t>
        </is>
      </c>
      <c r="E23" t="inlineStr">
        <is>
          <t>LUND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59733-2023</t>
        </is>
      </c>
      <c r="B24" s="1" t="n">
        <v>45257</v>
      </c>
      <c r="C24" s="1" t="n">
        <v>46138</v>
      </c>
      <c r="D24" t="inlineStr">
        <is>
          <t>SKÅNE LÄN</t>
        </is>
      </c>
      <c r="E24" t="inlineStr">
        <is>
          <t>LUND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55158-2023</t>
        </is>
      </c>
      <c r="B25" s="1" t="n">
        <v>45237</v>
      </c>
      <c r="C25" s="1" t="n">
        <v>46138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46138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28885-2022</t>
        </is>
      </c>
      <c r="B27" s="1" t="n">
        <v>44749</v>
      </c>
      <c r="C27" s="1" t="n">
        <v>46138</v>
      </c>
      <c r="D27" t="inlineStr">
        <is>
          <t>SKÅNE LÄN</t>
        </is>
      </c>
      <c r="E27" t="inlineStr">
        <is>
          <t>LUND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5059-2025</t>
        </is>
      </c>
      <c r="B28" s="1" t="n">
        <v>45691.47211805556</v>
      </c>
      <c r="C28" s="1" t="n">
        <v>46138</v>
      </c>
      <c r="D28" t="inlineStr">
        <is>
          <t>SKÅNE LÄN</t>
        </is>
      </c>
      <c r="E28" t="inlineStr">
        <is>
          <t>LUND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32972-2024</t>
        </is>
      </c>
      <c r="B29" s="1" t="n">
        <v>45517.42064814815</v>
      </c>
      <c r="C29" s="1" t="n">
        <v>46138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20.7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20057-2025</t>
        </is>
      </c>
      <c r="B30" s="1" t="n">
        <v>45772</v>
      </c>
      <c r="C30" s="1" t="n">
        <v>46138</v>
      </c>
      <c r="D30" t="inlineStr">
        <is>
          <t>SKÅNE LÄN</t>
        </is>
      </c>
      <c r="E30" t="inlineStr">
        <is>
          <t>LUND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46138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29247-2025</t>
        </is>
      </c>
      <c r="B32" s="1" t="n">
        <v>45824</v>
      </c>
      <c r="C32" s="1" t="n">
        <v>46138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46138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46138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34484-2025</t>
        </is>
      </c>
      <c r="B35" s="1" t="n">
        <v>45847.39517361111</v>
      </c>
      <c r="C35" s="1" t="n">
        <v>46138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46138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58488-2025</t>
        </is>
      </c>
      <c r="B37" s="1" t="n">
        <v>45985.66210648148</v>
      </c>
      <c r="C37" s="1" t="n">
        <v>46138</v>
      </c>
      <c r="D37" t="inlineStr">
        <is>
          <t>SKÅNE LÄN</t>
        </is>
      </c>
      <c r="E37" t="inlineStr">
        <is>
          <t>LUND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58337-2025</t>
        </is>
      </c>
      <c r="B38" s="1" t="n">
        <v>45985.48895833334</v>
      </c>
      <c r="C38" s="1" t="n">
        <v>46138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59206-2025</t>
        </is>
      </c>
      <c r="B39" s="1" t="n">
        <v>45988.60881944445</v>
      </c>
      <c r="C39" s="1" t="n">
        <v>46138</v>
      </c>
      <c r="D39" t="inlineStr">
        <is>
          <t>SKÅNE LÄN</t>
        </is>
      </c>
      <c r="E39" t="inlineStr">
        <is>
          <t>LUND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46138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8601-2023</t>
        </is>
      </c>
      <c r="B41" s="1" t="n">
        <v>44977</v>
      </c>
      <c r="C41" s="1" t="n">
        <v>46138</v>
      </c>
      <c r="D41" t="inlineStr">
        <is>
          <t>SKÅNE LÄN</t>
        </is>
      </c>
      <c r="E41" t="inlineStr">
        <is>
          <t>LUND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46138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46138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9889-2026</t>
        </is>
      </c>
      <c r="B44" s="1" t="n">
        <v>46073.368125</v>
      </c>
      <c r="C44" s="1" t="n">
        <v>46138</v>
      </c>
      <c r="D44" t="inlineStr">
        <is>
          <t>SKÅNE LÄN</t>
        </is>
      </c>
      <c r="E44" t="inlineStr">
        <is>
          <t>LUND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59918-2022</t>
        </is>
      </c>
      <c r="B45" s="1" t="n">
        <v>44909</v>
      </c>
      <c r="C45" s="1" t="n">
        <v>46138</v>
      </c>
      <c r="D45" t="inlineStr">
        <is>
          <t>SKÅNE LÄN</t>
        </is>
      </c>
      <c r="E45" t="inlineStr">
        <is>
          <t>LUND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13754-2022</t>
        </is>
      </c>
      <c r="B46" s="1" t="n">
        <v>44649</v>
      </c>
      <c r="C46" s="1" t="n">
        <v>46138</v>
      </c>
      <c r="D46" t="inlineStr">
        <is>
          <t>SKÅNE LÄN</t>
        </is>
      </c>
      <c r="E46" t="inlineStr">
        <is>
          <t>LUND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46138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15984-2025</t>
        </is>
      </c>
      <c r="B48" s="1" t="n">
        <v>45749</v>
      </c>
      <c r="C48" s="1" t="n">
        <v>46138</v>
      </c>
      <c r="D48" t="inlineStr">
        <is>
          <t>SKÅNE LÄN</t>
        </is>
      </c>
      <c r="E48" t="inlineStr">
        <is>
          <t>LUND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46138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49297-2023</t>
        </is>
      </c>
      <c r="B50" s="1" t="n">
        <v>45210</v>
      </c>
      <c r="C50" s="1" t="n">
        <v>46138</v>
      </c>
      <c r="D50" t="inlineStr">
        <is>
          <t>SKÅNE LÄN</t>
        </is>
      </c>
      <c r="E50" t="inlineStr">
        <is>
          <t>LUND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2026-04-26T10:53:10Z</dcterms:created>
  <dcterms:modified xmlns:dcterms="http://purl.org/dc/terms/" xmlns:xsi="http://www.w3.org/2001/XMLSchema-instance" xsi:type="dcterms:W3CDTF">2026-04-26T10:53:10Z</dcterms:modified>
</cp:coreProperties>
</file>