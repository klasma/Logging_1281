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45973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45973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45973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45973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45973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45973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45973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45973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45973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45973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45973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45973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11732-2024</t>
        </is>
      </c>
      <c r="B14" s="1" t="n">
        <v>45373.69222222222</v>
      </c>
      <c r="C14" s="1" t="n">
        <v>45973</v>
      </c>
      <c r="D14" t="inlineStr">
        <is>
          <t>SKÅNE LÄN</t>
        </is>
      </c>
      <c r="E14" t="inlineStr">
        <is>
          <t>LUND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HYPERLINK("https://klasma.github.io/Logging_1281/artfynd/A 11732-2024 artfynd.xlsx", "A 11732-2024")</f>
        <v/>
      </c>
      <c r="T14">
        <f>HYPERLINK("https://klasma.github.io/Logging_1281/kartor/A 11732-2024 karta.png", "A 11732-2024")</f>
        <v/>
      </c>
      <c r="V14">
        <f>HYPERLINK("https://klasma.github.io/Logging_1281/klagomål/A 11732-2024 FSC-klagomål.docx", "A 11732-2024")</f>
        <v/>
      </c>
      <c r="W14">
        <f>HYPERLINK("https://klasma.github.io/Logging_1281/klagomålsmail/A 11732-2024 FSC-klagomål mail.docx", "A 11732-2024")</f>
        <v/>
      </c>
      <c r="X14">
        <f>HYPERLINK("https://klasma.github.io/Logging_1281/tillsyn/A 11732-2024 tillsynsbegäran.docx", "A 11732-2024")</f>
        <v/>
      </c>
      <c r="Y14">
        <f>HYPERLINK("https://klasma.github.io/Logging_1281/tillsynsmail/A 11732-2024 tillsynsbegäran mail.docx", "A 11732-2024")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45973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45973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45973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45973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45973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45973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31773-2023</t>
        </is>
      </c>
      <c r="B21" s="1" t="n">
        <v>45118</v>
      </c>
      <c r="C21" s="1" t="n">
        <v>45973</v>
      </c>
      <c r="D21" t="inlineStr">
        <is>
          <t>SKÅNE LÄN</t>
        </is>
      </c>
      <c r="E21" t="inlineStr">
        <is>
          <t>LUND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13754-2022</t>
        </is>
      </c>
      <c r="B22" s="1" t="n">
        <v>44649</v>
      </c>
      <c r="C22" s="1" t="n">
        <v>45973</v>
      </c>
      <c r="D22" t="inlineStr">
        <is>
          <t>SKÅNE LÄN</t>
        </is>
      </c>
      <c r="E22" t="inlineStr">
        <is>
          <t>LUND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45973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45973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29075-2023</t>
        </is>
      </c>
      <c r="B25" s="1" t="n">
        <v>45104</v>
      </c>
      <c r="C25" s="1" t="n">
        <v>45973</v>
      </c>
      <c r="D25" t="inlineStr">
        <is>
          <t>SKÅNE LÄN</t>
        </is>
      </c>
      <c r="E25" t="inlineStr">
        <is>
          <t>LUND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45973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45973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28885-2022</t>
        </is>
      </c>
      <c r="B28" s="1" t="n">
        <v>44749</v>
      </c>
      <c r="C28" s="1" t="n">
        <v>45973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45973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16499-2025</t>
        </is>
      </c>
      <c r="B30" s="1" t="n">
        <v>45751.60246527778</v>
      </c>
      <c r="C30" s="1" t="n">
        <v>45973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2248-2025</t>
        </is>
      </c>
      <c r="B31" s="1" t="n">
        <v>45673.49231481482</v>
      </c>
      <c r="C31" s="1" t="n">
        <v>45973</v>
      </c>
      <c r="D31" t="inlineStr">
        <is>
          <t>SKÅNE LÄN</t>
        </is>
      </c>
      <c r="E31" t="inlineStr">
        <is>
          <t>LUND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59733-2023</t>
        </is>
      </c>
      <c r="B32" s="1" t="n">
        <v>45257</v>
      </c>
      <c r="C32" s="1" t="n">
        <v>45973</v>
      </c>
      <c r="D32" t="inlineStr">
        <is>
          <t>SKÅNE LÄN</t>
        </is>
      </c>
      <c r="E32" t="inlineStr">
        <is>
          <t>LUND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55158-2023</t>
        </is>
      </c>
      <c r="B33" s="1" t="n">
        <v>45237</v>
      </c>
      <c r="C33" s="1" t="n">
        <v>45973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14058-2025</t>
        </is>
      </c>
      <c r="B34" s="1" t="n">
        <v>45740.40390046296</v>
      </c>
      <c r="C34" s="1" t="n">
        <v>45973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45973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44646-2023</t>
        </is>
      </c>
      <c r="B36" s="1" t="n">
        <v>45189</v>
      </c>
      <c r="C36" s="1" t="n">
        <v>45973</v>
      </c>
      <c r="D36" t="inlineStr">
        <is>
          <t>SKÅNE LÄN</t>
        </is>
      </c>
      <c r="E36" t="inlineStr">
        <is>
          <t>LUND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15984-2025</t>
        </is>
      </c>
      <c r="B37" s="1" t="n">
        <v>45749</v>
      </c>
      <c r="C37" s="1" t="n">
        <v>45973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29083-2023</t>
        </is>
      </c>
      <c r="B38" s="1" t="n">
        <v>45105</v>
      </c>
      <c r="C38" s="1" t="n">
        <v>45973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20057-2025</t>
        </is>
      </c>
      <c r="B39" s="1" t="n">
        <v>45772</v>
      </c>
      <c r="C39" s="1" t="n">
        <v>45973</v>
      </c>
      <c r="D39" t="inlineStr">
        <is>
          <t>SKÅNE LÄN</t>
        </is>
      </c>
      <c r="E39" t="inlineStr">
        <is>
          <t>LUND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49297-2023</t>
        </is>
      </c>
      <c r="B40" s="1" t="n">
        <v>45210</v>
      </c>
      <c r="C40" s="1" t="n">
        <v>45973</v>
      </c>
      <c r="D40" t="inlineStr">
        <is>
          <t>SKÅNE LÄN</t>
        </is>
      </c>
      <c r="E40" t="inlineStr">
        <is>
          <t>LUND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45973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45973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51536-2025</t>
        </is>
      </c>
      <c r="B43" s="1" t="n">
        <v>45950</v>
      </c>
      <c r="C43" s="1" t="n">
        <v>45973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29247-2025</t>
        </is>
      </c>
      <c r="B44" s="1" t="n">
        <v>45824</v>
      </c>
      <c r="C44" s="1" t="n">
        <v>45973</v>
      </c>
      <c r="D44" t="inlineStr">
        <is>
          <t>SKÅNE LÄN</t>
        </is>
      </c>
      <c r="E44" t="inlineStr">
        <is>
          <t>LUND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34484-2025</t>
        </is>
      </c>
      <c r="B45" s="1" t="n">
        <v>45847.39517361111</v>
      </c>
      <c r="C45" s="1" t="n">
        <v>45973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2025-11-12T10:09:47Z</dcterms:created>
  <dcterms:modified xmlns:dcterms="http://purl.org/dc/terms/" xmlns:xsi="http://www.w3.org/2001/XMLSchema-instance" xsi:type="dcterms:W3CDTF">2025-11-12T10:09:47Z</dcterms:modified>
</cp:coreProperties>
</file>