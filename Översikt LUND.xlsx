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46145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46145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46145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46145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46145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46145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46145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46145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46145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46145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46145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46145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46145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46145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46145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4746-2025</t>
        </is>
      </c>
      <c r="B17" s="1" t="n">
        <v>45688.46011574074</v>
      </c>
      <c r="C17" s="1" t="n">
        <v>46145</v>
      </c>
      <c r="D17" t="inlineStr">
        <is>
          <t>SKÅNE LÄN</t>
        </is>
      </c>
      <c r="E17" t="inlineStr">
        <is>
          <t>LUND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HYPERLINK("https://klasma.github.io/Logging_1281/artfynd/A 4746-2025 artfynd.xlsx", "A 4746-2025")</f>
        <v/>
      </c>
      <c r="T17">
        <f>HYPERLINK("https://klasma.github.io/Logging_1281/kartor/A 4746-2025 karta.png", "A 4746-2025")</f>
        <v/>
      </c>
      <c r="V17">
        <f>HYPERLINK("https://klasma.github.io/Logging_1281/klagomål/A 4746-2025 FSC-klagomål.docx", "A 4746-2025")</f>
        <v/>
      </c>
      <c r="W17">
        <f>HYPERLINK("https://klasma.github.io/Logging_1281/klagomålsmail/A 4746-2025 FSC-klagomål mail.docx", "A 4746-2025")</f>
        <v/>
      </c>
      <c r="X17">
        <f>HYPERLINK("https://klasma.github.io/Logging_1281/tillsyn/A 4746-2025 tillsynsbegäran.docx", "A 4746-2025")</f>
        <v/>
      </c>
      <c r="Y17">
        <f>HYPERLINK("https://klasma.github.io/Logging_1281/tillsynsmail/A 4746-2025 tillsynsbegäran mail.docx", "A 4746-2025")</f>
        <v/>
      </c>
      <c r="Z17">
        <f>HYPERLINK("https://klasma.github.io/Logging_1281/fåglar/A 4746-2025 prioriterade fågelarter.docx", "A 4746-2025")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46145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46145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46145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46145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46145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32972-2024</t>
        </is>
      </c>
      <c r="B23" s="1" t="n">
        <v>45517.42064814815</v>
      </c>
      <c r="C23" s="1" t="n">
        <v>46145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20.7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46145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29075-2023</t>
        </is>
      </c>
      <c r="B25" s="1" t="n">
        <v>45104</v>
      </c>
      <c r="C25" s="1" t="n">
        <v>46145</v>
      </c>
      <c r="D25" t="inlineStr">
        <is>
          <t>SKÅNE LÄN</t>
        </is>
      </c>
      <c r="E25" t="inlineStr">
        <is>
          <t>LUND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59918-2022</t>
        </is>
      </c>
      <c r="B26" s="1" t="n">
        <v>44909</v>
      </c>
      <c r="C26" s="1" t="n">
        <v>46145</v>
      </c>
      <c r="D26" t="inlineStr">
        <is>
          <t>SKÅNE LÄN</t>
        </is>
      </c>
      <c r="E26" t="inlineStr">
        <is>
          <t>LUND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46145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2248-2025</t>
        </is>
      </c>
      <c r="B28" s="1" t="n">
        <v>45673.49231481482</v>
      </c>
      <c r="C28" s="1" t="n">
        <v>46145</v>
      </c>
      <c r="D28" t="inlineStr">
        <is>
          <t>SKÅNE LÄN</t>
        </is>
      </c>
      <c r="E28" t="inlineStr">
        <is>
          <t>LUND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14058-2025</t>
        </is>
      </c>
      <c r="B29" s="1" t="n">
        <v>45740.40390046296</v>
      </c>
      <c r="C29" s="1" t="n">
        <v>46145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8601-2023</t>
        </is>
      </c>
      <c r="B30" s="1" t="n">
        <v>44977</v>
      </c>
      <c r="C30" s="1" t="n">
        <v>46145</v>
      </c>
      <c r="D30" t="inlineStr">
        <is>
          <t>SKÅNE LÄN</t>
        </is>
      </c>
      <c r="E30" t="inlineStr">
        <is>
          <t>LUND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21767-2023</t>
        </is>
      </c>
      <c r="B31" s="1" t="n">
        <v>45065</v>
      </c>
      <c r="C31" s="1" t="n">
        <v>46145</v>
      </c>
      <c r="D31" t="inlineStr">
        <is>
          <t>SKÅNE LÄN</t>
        </is>
      </c>
      <c r="E31" t="inlineStr">
        <is>
          <t>LUND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31773-2023</t>
        </is>
      </c>
      <c r="B32" s="1" t="n">
        <v>45118</v>
      </c>
      <c r="C32" s="1" t="n">
        <v>46145</v>
      </c>
      <c r="D32" t="inlineStr">
        <is>
          <t>SKÅNE LÄN</t>
        </is>
      </c>
      <c r="E32" t="inlineStr">
        <is>
          <t>LUND</t>
        </is>
      </c>
      <c r="F32" t="inlineStr">
        <is>
          <t>Kommuner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46145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46145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46145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13754-2022</t>
        </is>
      </c>
      <c r="B36" s="1" t="n">
        <v>44649</v>
      </c>
      <c r="C36" s="1" t="n">
        <v>46145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46145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28885-2022</t>
        </is>
      </c>
      <c r="B38" s="1" t="n">
        <v>44749</v>
      </c>
      <c r="C38" s="1" t="n">
        <v>46145</v>
      </c>
      <c r="D38" t="inlineStr">
        <is>
          <t>SKÅNE LÄN</t>
        </is>
      </c>
      <c r="E38" t="inlineStr">
        <is>
          <t>LUND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16499-2025</t>
        </is>
      </c>
      <c r="B39" s="1" t="n">
        <v>45751.60246527778</v>
      </c>
      <c r="C39" s="1" t="n">
        <v>46145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46145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46145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46145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46145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46145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46145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46145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20277-2026</t>
        </is>
      </c>
      <c r="B47" s="1" t="n">
        <v>46139.53665509259</v>
      </c>
      <c r="C47" s="1" t="n">
        <v>46145</v>
      </c>
      <c r="D47" t="inlineStr">
        <is>
          <t>SKÅNE LÄN</t>
        </is>
      </c>
      <c r="E47" t="inlineStr">
        <is>
          <t>LUND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17519-2023</t>
        </is>
      </c>
      <c r="B48" s="1" t="n">
        <v>45036</v>
      </c>
      <c r="C48" s="1" t="n">
        <v>46145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20281-2026</t>
        </is>
      </c>
      <c r="B49" s="1" t="n">
        <v>46139.53974537037</v>
      </c>
      <c r="C49" s="1" t="n">
        <v>46145</v>
      </c>
      <c r="D49" t="inlineStr">
        <is>
          <t>SKÅNE LÄN</t>
        </is>
      </c>
      <c r="E49" t="inlineStr">
        <is>
          <t>LUND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20057-2025</t>
        </is>
      </c>
      <c r="B50" s="1" t="n">
        <v>45772</v>
      </c>
      <c r="C50" s="1" t="n">
        <v>46145</v>
      </c>
      <c r="D50" t="inlineStr">
        <is>
          <t>SKÅNE LÄN</t>
        </is>
      </c>
      <c r="E50" t="inlineStr">
        <is>
          <t>LUND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29247-2025</t>
        </is>
      </c>
      <c r="B51" s="1" t="n">
        <v>45824</v>
      </c>
      <c r="C51" s="1" t="n">
        <v>46145</v>
      </c>
      <c r="D51" t="inlineStr">
        <is>
          <t>SKÅNE LÄN</t>
        </is>
      </c>
      <c r="E51" t="inlineStr">
        <is>
          <t>LUND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34484-2025</t>
        </is>
      </c>
      <c r="B52" s="1" t="n">
        <v>45847.39517361111</v>
      </c>
      <c r="C52" s="1" t="n">
        <v>46145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2026-05-03T11:00:19Z</dcterms:created>
  <dcterms:modified xmlns:dcterms="http://purl.org/dc/terms/" xmlns:xsi="http://www.w3.org/2001/XMLSchema-instance" xsi:type="dcterms:W3CDTF">2026-05-03T11:00:19Z</dcterms:modified>
</cp:coreProperties>
</file>