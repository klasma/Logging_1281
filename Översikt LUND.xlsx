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46053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46053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46053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46053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46053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46053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46053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46053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55145-2023</t>
        </is>
      </c>
      <c r="B10" s="1" t="n">
        <v>45237</v>
      </c>
      <c r="C10" s="1" t="n">
        <v>46053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HYPERLINK("https://klasma.github.io/Logging_1281/artfynd/A 55145-2023 artfynd.xlsx", "A 55145-2023")</f>
        <v/>
      </c>
      <c r="T10">
        <f>HYPERLINK("https://klasma.github.io/Logging_1281/kartor/A 55145-2023 karta.png", "A 55145-2023")</f>
        <v/>
      </c>
      <c r="V10">
        <f>HYPERLINK("https://klasma.github.io/Logging_1281/klagomål/A 55145-2023 FSC-klagomål.docx", "A 55145-2023")</f>
        <v/>
      </c>
      <c r="W10">
        <f>HYPERLINK("https://klasma.github.io/Logging_1281/klagomålsmail/A 55145-2023 FSC-klagomål mail.docx", "A 55145-2023")</f>
        <v/>
      </c>
      <c r="X10">
        <f>HYPERLINK("https://klasma.github.io/Logging_1281/tillsyn/A 55145-2023 tillsynsbegäran.docx", "A 55145-2023")</f>
        <v/>
      </c>
      <c r="Y10">
        <f>HYPERLINK("https://klasma.github.io/Logging_1281/tillsynsmail/A 55145-2023 tillsynsbegäran mail.docx", "A 55145-2023")</f>
        <v/>
      </c>
    </row>
    <row r="11" ht="15" customHeight="1">
      <c r="A11" t="inlineStr">
        <is>
          <t>A 4746-2025</t>
        </is>
      </c>
      <c r="B11" s="1" t="n">
        <v>45688.46011574074</v>
      </c>
      <c r="C11" s="1" t="n">
        <v>46053</v>
      </c>
      <c r="D11" t="inlineStr">
        <is>
          <t>SKÅNE LÄN</t>
        </is>
      </c>
      <c r="E11" t="inlineStr">
        <is>
          <t>LUND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HYPERLINK("https://klasma.github.io/Logging_1281/artfynd/A 4746-2025 artfynd.xlsx", "A 4746-2025")</f>
        <v/>
      </c>
      <c r="T11">
        <f>HYPERLINK("https://klasma.github.io/Logging_1281/kartor/A 4746-2025 karta.png", "A 4746-2025")</f>
        <v/>
      </c>
      <c r="V11">
        <f>HYPERLINK("https://klasma.github.io/Logging_1281/klagomål/A 4746-2025 FSC-klagomål.docx", "A 4746-2025")</f>
        <v/>
      </c>
      <c r="W11">
        <f>HYPERLINK("https://klasma.github.io/Logging_1281/klagomålsmail/A 4746-2025 FSC-klagomål mail.docx", "A 4746-2025")</f>
        <v/>
      </c>
      <c r="X11">
        <f>HYPERLINK("https://klasma.github.io/Logging_1281/tillsyn/A 4746-2025 tillsynsbegäran.docx", "A 4746-2025")</f>
        <v/>
      </c>
      <c r="Y11">
        <f>HYPERLINK("https://klasma.github.io/Logging_1281/tillsynsmail/A 4746-2025 tillsynsbegäran mail.docx", "A 4746-2025")</f>
        <v/>
      </c>
      <c r="Z11">
        <f>HYPERLINK("https://klasma.github.io/Logging_1281/fåglar/A 4746-2025 prioriterade fågelarter.docx", "A 4746-2025")</f>
        <v/>
      </c>
    </row>
    <row r="12" ht="15" customHeight="1">
      <c r="A12" t="inlineStr">
        <is>
          <t>A 4816-2025</t>
        </is>
      </c>
      <c r="B12" s="1" t="n">
        <v>45688.62052083333</v>
      </c>
      <c r="C12" s="1" t="n">
        <v>46053</v>
      </c>
      <c r="D12" t="inlineStr">
        <is>
          <t>SKÅNE LÄN</t>
        </is>
      </c>
      <c r="E12" t="inlineStr">
        <is>
          <t>LUND</t>
        </is>
      </c>
      <c r="G12" t="n">
        <v>7.7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HYPERLINK("https://klasma.github.io/Logging_1281/artfynd/A 4816-2025 artfynd.xlsx", "A 4816-2025")</f>
        <v/>
      </c>
      <c r="T12">
        <f>HYPERLINK("https://klasma.github.io/Logging_1281/kartor/A 4816-2025 karta.png", "A 4816-2025")</f>
        <v/>
      </c>
      <c r="V12">
        <f>HYPERLINK("https://klasma.github.io/Logging_1281/klagomål/A 4816-2025 FSC-klagomål.docx", "A 4816-2025")</f>
        <v/>
      </c>
      <c r="W12">
        <f>HYPERLINK("https://klasma.github.io/Logging_1281/klagomålsmail/A 4816-2025 FSC-klagomål mail.docx", "A 4816-2025")</f>
        <v/>
      </c>
      <c r="X12">
        <f>HYPERLINK("https://klasma.github.io/Logging_1281/tillsyn/A 4816-2025 tillsynsbegäran.docx", "A 4816-2025")</f>
        <v/>
      </c>
      <c r="Y12">
        <f>HYPERLINK("https://klasma.github.io/Logging_1281/tillsynsmail/A 4816-2025 tillsynsbegäran mail.docx", "A 4816-2025")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46053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72269-2021</t>
        </is>
      </c>
      <c r="B14" s="1" t="n">
        <v>44543</v>
      </c>
      <c r="C14" s="1" t="n">
        <v>46053</v>
      </c>
      <c r="D14" t="inlineStr">
        <is>
          <t>SKÅNE LÄN</t>
        </is>
      </c>
      <c r="E14" t="inlineStr">
        <is>
          <t>LUND</t>
        </is>
      </c>
      <c r="G14" t="n">
        <v>3.2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häxört</t>
        </is>
      </c>
      <c r="S14">
        <f>HYPERLINK("https://klasma.github.io/Logging_1281/artfynd/A 72269-2021 artfynd.xlsx", "A 72269-2021")</f>
        <v/>
      </c>
      <c r="T14">
        <f>HYPERLINK("https://klasma.github.io/Logging_1281/kartor/A 72269-2021 karta.png", "A 72269-2021")</f>
        <v/>
      </c>
      <c r="V14">
        <f>HYPERLINK("https://klasma.github.io/Logging_1281/klagomål/A 72269-2021 FSC-klagomål.docx", "A 72269-2021")</f>
        <v/>
      </c>
      <c r="W14">
        <f>HYPERLINK("https://klasma.github.io/Logging_1281/klagomålsmail/A 72269-2021 FSC-klagomål mail.docx", "A 72269-2021")</f>
        <v/>
      </c>
      <c r="X14">
        <f>HYPERLINK("https://klasma.github.io/Logging_1281/tillsyn/A 72269-2021 tillsynsbegäran.docx", "A 72269-2021")</f>
        <v/>
      </c>
      <c r="Y14">
        <f>HYPERLINK("https://klasma.github.io/Logging_1281/tillsynsmail/A 72269-2021 tillsynsbegäran mail.docx", "A 72269-2021")</f>
        <v/>
      </c>
    </row>
    <row r="15" ht="15" customHeight="1">
      <c r="A15" t="inlineStr">
        <is>
          <t>A 59227-2025</t>
        </is>
      </c>
      <c r="B15" s="1" t="n">
        <v>45988.62253472222</v>
      </c>
      <c r="C15" s="1" t="n">
        <v>46053</v>
      </c>
      <c r="D15" t="inlineStr">
        <is>
          <t>SKÅNE LÄN</t>
        </is>
      </c>
      <c r="E15" t="inlineStr">
        <is>
          <t>LUND</t>
        </is>
      </c>
      <c r="G15" t="n">
        <v>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Scharlakansskål</t>
        </is>
      </c>
      <c r="S15">
        <f>HYPERLINK("https://klasma.github.io/Logging_1281/artfynd/A 59227-2025 artfynd.xlsx", "A 59227-2025")</f>
        <v/>
      </c>
      <c r="T15">
        <f>HYPERLINK("https://klasma.github.io/Logging_1281/kartor/A 59227-2025 karta.png", "A 59227-2025")</f>
        <v/>
      </c>
      <c r="V15">
        <f>HYPERLINK("https://klasma.github.io/Logging_1281/klagomål/A 59227-2025 FSC-klagomål.docx", "A 59227-2025")</f>
        <v/>
      </c>
      <c r="W15">
        <f>HYPERLINK("https://klasma.github.io/Logging_1281/klagomålsmail/A 59227-2025 FSC-klagomål mail.docx", "A 59227-2025")</f>
        <v/>
      </c>
      <c r="X15">
        <f>HYPERLINK("https://klasma.github.io/Logging_1281/tillsyn/A 59227-2025 tillsynsbegäran.docx", "A 59227-2025")</f>
        <v/>
      </c>
      <c r="Y15">
        <f>HYPERLINK("https://klasma.github.io/Logging_1281/tillsynsmail/A 59227-2025 tillsynsbegäran mail.docx", "A 59227-2025")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46053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46053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46053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46053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46053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46053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46053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46053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46053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20057-2025</t>
        </is>
      </c>
      <c r="B25" s="1" t="n">
        <v>45772</v>
      </c>
      <c r="C25" s="1" t="n">
        <v>46053</v>
      </c>
      <c r="D25" t="inlineStr">
        <is>
          <t>SKÅNE LÄN</t>
        </is>
      </c>
      <c r="E25" t="inlineStr">
        <is>
          <t>LUND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46053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5059-2025</t>
        </is>
      </c>
      <c r="B27" s="1" t="n">
        <v>45691.47211805556</v>
      </c>
      <c r="C27" s="1" t="n">
        <v>46053</v>
      </c>
      <c r="D27" t="inlineStr">
        <is>
          <t>SKÅNE LÄN</t>
        </is>
      </c>
      <c r="E27" t="inlineStr">
        <is>
          <t>LUND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46053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29247-2025</t>
        </is>
      </c>
      <c r="B29" s="1" t="n">
        <v>45824</v>
      </c>
      <c r="C29" s="1" t="n">
        <v>46053</v>
      </c>
      <c r="D29" t="inlineStr">
        <is>
          <t>SKÅNE LÄN</t>
        </is>
      </c>
      <c r="E29" t="inlineStr">
        <is>
          <t>LUND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59918-2022</t>
        </is>
      </c>
      <c r="B30" s="1" t="n">
        <v>44909</v>
      </c>
      <c r="C30" s="1" t="n">
        <v>46053</v>
      </c>
      <c r="D30" t="inlineStr">
        <is>
          <t>SKÅNE LÄN</t>
        </is>
      </c>
      <c r="E30" t="inlineStr">
        <is>
          <t>LUND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34484-2025</t>
        </is>
      </c>
      <c r="B31" s="1" t="n">
        <v>45847.39517361111</v>
      </c>
      <c r="C31" s="1" t="n">
        <v>46053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45740.40390046296</v>
      </c>
      <c r="C32" s="1" t="n">
        <v>46053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46053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46053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46053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8601-2023</t>
        </is>
      </c>
      <c r="B36" s="1" t="n">
        <v>44977</v>
      </c>
      <c r="C36" s="1" t="n">
        <v>46053</v>
      </c>
      <c r="D36" t="inlineStr">
        <is>
          <t>SKÅNE LÄN</t>
        </is>
      </c>
      <c r="E36" t="inlineStr">
        <is>
          <t>LUND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46053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46053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31773-2023</t>
        </is>
      </c>
      <c r="B39" s="1" t="n">
        <v>45118</v>
      </c>
      <c r="C39" s="1" t="n">
        <v>46053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13754-2022</t>
        </is>
      </c>
      <c r="B40" s="1" t="n">
        <v>44649</v>
      </c>
      <c r="C40" s="1" t="n">
        <v>46053</v>
      </c>
      <c r="D40" t="inlineStr">
        <is>
          <t>SKÅNE LÄN</t>
        </is>
      </c>
      <c r="E40" t="inlineStr">
        <is>
          <t>LUND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28885-2022</t>
        </is>
      </c>
      <c r="B41" s="1" t="n">
        <v>44749</v>
      </c>
      <c r="C41" s="1" t="n">
        <v>46053</v>
      </c>
      <c r="D41" t="inlineStr">
        <is>
          <t>SKÅNE LÄN</t>
        </is>
      </c>
      <c r="E41" t="inlineStr">
        <is>
          <t>LUND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46053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59733-2023</t>
        </is>
      </c>
      <c r="B43" s="1" t="n">
        <v>45257</v>
      </c>
      <c r="C43" s="1" t="n">
        <v>46053</v>
      </c>
      <c r="D43" t="inlineStr">
        <is>
          <t>SKÅNE LÄN</t>
        </is>
      </c>
      <c r="E43" t="inlineStr">
        <is>
          <t>LUND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55158-2023</t>
        </is>
      </c>
      <c r="B44" s="1" t="n">
        <v>45237</v>
      </c>
      <c r="C44" s="1" t="n">
        <v>46053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46053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46053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46053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46053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17519-2023</t>
        </is>
      </c>
      <c r="B49" s="1" t="n">
        <v>45036</v>
      </c>
      <c r="C49" s="1" t="n">
        <v>46053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2026-01-31T11:04:37Z</dcterms:created>
  <dcterms:modified xmlns:dcterms="http://purl.org/dc/terms/" xmlns:xsi="http://www.w3.org/2001/XMLSchema-instance" xsi:type="dcterms:W3CDTF">2026-01-31T11:04:37Z</dcterms:modified>
</cp:coreProperties>
</file>