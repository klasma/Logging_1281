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46324</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46324</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46324</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46324</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46324</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46324</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46324</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10617-2025</t>
        </is>
      </c>
      <c r="B10" t="inlineStr">
        <is>
          <t>avverkningsanmälan</t>
        </is>
      </c>
      <c r="C10" t="inlineStr">
        <is>
          <t>Föryngringsavverkning</t>
        </is>
      </c>
      <c r="D10" s="1" t="n">
        <v>45721</v>
      </c>
      <c r="E10" s="1" t="n">
        <v>46324</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A 72269-2021</t>
        </is>
      </c>
      <c r="B11" t="inlineStr">
        <is>
          <t>avverkningsanmälan</t>
        </is>
      </c>
      <c r="C11" t="inlineStr">
        <is>
          <t>Avverkning för annat ändamål</t>
        </is>
      </c>
      <c r="D11" s="1" t="n">
        <v>44543</v>
      </c>
      <c r="E11" s="1" t="n">
        <v>46324</v>
      </c>
      <c r="F11" t="inlineStr">
        <is>
          <t>SKÅNE LÄN</t>
        </is>
      </c>
      <c r="G11" t="inlineStr">
        <is>
          <t>LUND</t>
        </is>
      </c>
      <c r="I11" t="n">
        <v>3.2</v>
      </c>
      <c r="J11" t="n">
        <v>0</v>
      </c>
      <c r="K11" t="n">
        <v>2</v>
      </c>
      <c r="L11" t="n">
        <v>0</v>
      </c>
      <c r="M11" t="n">
        <v>0</v>
      </c>
      <c r="N11" t="n">
        <v>0</v>
      </c>
      <c r="O11" t="n">
        <v>0</v>
      </c>
      <c r="P11" t="n">
        <v>0</v>
      </c>
      <c r="Q11" t="n">
        <v>0</v>
      </c>
      <c r="R11" t="n">
        <v>0</v>
      </c>
      <c r="S11" t="n">
        <v>2</v>
      </c>
      <c r="T11" t="n">
        <v>2</v>
      </c>
      <c r="U11" t="n">
        <v>0</v>
      </c>
      <c r="V11" s="2" t="inlineStr">
        <is>
          <t>Blanksvart trämyra
Stor häxört</t>
        </is>
      </c>
      <c r="W11">
        <f>HYPERLINK("https://klasma.github.io/Logging_1281/artfynd/A 72269-2021 artfynd.xlsx", "A 72269-2021")</f>
        <v/>
      </c>
      <c r="X11">
        <f>HYPERLINK("https://klasma.github.io/Logging_1281/kartor/A 72269-2021 karta.png", "A 72269-2021")</f>
        <v/>
      </c>
      <c r="Y11">
        <f>HYPERLINK("https://klasma.github.io/Logging_1281/kartor_geotiff/A 72269-2021 georefererad karta.tif", "A 72269-2021")</f>
        <v/>
      </c>
      <c r="AA11">
        <f>HYPERLINK("https://klasma.github.io/Logging_1281/klagomål/A 72269-2021 FSC-klagomål.docx", "A 72269-2021")</f>
        <v/>
      </c>
      <c r="AB11">
        <f>HYPERLINK("https://klasma.github.io/Logging_1281/klagomålsmail/A 72269-2021 FSC-klagomål mail.docx", "A 72269-2021")</f>
        <v/>
      </c>
      <c r="AC11">
        <f>HYPERLINK("https://klasma.github.io/Logging_1281/tillsyn/A 72269-2021 tillsynsbegäran.docx", "A 72269-2021")</f>
        <v/>
      </c>
      <c r="AD11">
        <f>HYPERLINK("https://klasma.github.io/Logging_1281/tillsynsmail/A 72269-2021 tillsynsbegäran mail.docx", "A 72269-2021")</f>
        <v/>
      </c>
    </row>
    <row r="12" ht="15" customHeight="1">
      <c r="A12" t="inlineStr">
        <is>
          <t>S 627-2025</t>
        </is>
      </c>
      <c r="B12" t="inlineStr">
        <is>
          <t>samrådsanmälan</t>
        </is>
      </c>
      <c r="C12" t="inlineStr">
        <is>
          <t>Askåterföring</t>
        </is>
      </c>
      <c r="D12" s="1" t="n">
        <v>45714</v>
      </c>
      <c r="E12" s="1" t="n">
        <v>46324</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46324</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46324</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55158-2023</t>
        </is>
      </c>
      <c r="B15" t="inlineStr">
        <is>
          <t>avverkningsanmälan</t>
        </is>
      </c>
      <c r="C15" t="inlineStr">
        <is>
          <t>Föryngringsavverkning</t>
        </is>
      </c>
      <c r="D15" s="1" t="n">
        <v>45237</v>
      </c>
      <c r="E15" s="1" t="n">
        <v>46324</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4746-2025</t>
        </is>
      </c>
      <c r="B16" t="inlineStr">
        <is>
          <t>avverkningsanmälan</t>
        </is>
      </c>
      <c r="C16" t="inlineStr">
        <is>
          <t>Föryngringsavverkning</t>
        </is>
      </c>
      <c r="D16" s="1" t="n">
        <v>45688</v>
      </c>
      <c r="E16" s="1" t="n">
        <v>46324</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55145-2023</t>
        </is>
      </c>
      <c r="B17" t="inlineStr">
        <is>
          <t>avverkningsanmälan</t>
        </is>
      </c>
      <c r="C17" t="inlineStr">
        <is>
          <t>Avverkning för att bevara och utveckla /försöksver</t>
        </is>
      </c>
      <c r="D17" s="1" t="n">
        <v>45237</v>
      </c>
      <c r="E17" s="1" t="n">
        <v>46324</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27377-2026</t>
        </is>
      </c>
      <c r="B18" t="inlineStr">
        <is>
          <t>avverkningsanmälan</t>
        </is>
      </c>
      <c r="C18" t="inlineStr">
        <is>
          <t>Föryngringsavverkning</t>
        </is>
      </c>
      <c r="D18" s="1" t="n">
        <v>46189</v>
      </c>
      <c r="E18" s="1" t="n">
        <v>46324</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11732-2024</t>
        </is>
      </c>
      <c r="B19" t="inlineStr">
        <is>
          <t>avverkningsanmälan</t>
        </is>
      </c>
      <c r="C19" t="inlineStr">
        <is>
          <t>Föryngringsavverkning</t>
        </is>
      </c>
      <c r="D19" s="1" t="n">
        <v>45373</v>
      </c>
      <c r="E19" s="1" t="n">
        <v>46324</v>
      </c>
      <c r="F19" t="inlineStr">
        <is>
          <t>SKÅNE LÄN</t>
        </is>
      </c>
      <c r="G19" t="inlineStr">
        <is>
          <t>LUND</t>
        </is>
      </c>
      <c r="I19" t="n">
        <v>2.8</v>
      </c>
      <c r="J19" t="n">
        <v>1</v>
      </c>
      <c r="K19" t="n">
        <v>0</v>
      </c>
      <c r="L19" t="n">
        <v>0</v>
      </c>
      <c r="M19" t="n">
        <v>0</v>
      </c>
      <c r="N19" t="n">
        <v>1</v>
      </c>
      <c r="O19" t="n">
        <v>0</v>
      </c>
      <c r="P19" t="n">
        <v>0</v>
      </c>
      <c r="Q19" t="n">
        <v>1</v>
      </c>
      <c r="R19" t="n">
        <v>1</v>
      </c>
      <c r="S19" t="n">
        <v>1</v>
      </c>
      <c r="T19" t="n">
        <v>2</v>
      </c>
      <c r="U19" t="n">
        <v>2</v>
      </c>
      <c r="V19" s="2" t="inlineStr">
        <is>
          <t>Dvärgjohannesört</t>
        </is>
      </c>
      <c r="W19">
        <f>HYPERLINK("https://klasma.github.io/Logging_1281/artfynd/A 11732-2024 artfynd.xlsx", "A 11732-2024")</f>
        <v/>
      </c>
      <c r="X19">
        <f>HYPERLINK("https://klasma.github.io/Logging_1281/kartor/A 11732-2024 karta.png", "A 11732-2024")</f>
        <v/>
      </c>
      <c r="Y19">
        <f>HYPERLINK("https://klasma.github.io/Logging_1281/kartor_geotiff/A 11732-2024 georefererad karta.tif", "A 11732-2024")</f>
        <v/>
      </c>
      <c r="AA19">
        <f>HYPERLINK("https://klasma.github.io/Logging_1281/klagomål/A 11732-2024 FSC-klagomål.docx", "A 11732-2024")</f>
        <v/>
      </c>
      <c r="AB19">
        <f>HYPERLINK("https://klasma.github.io/Logging_1281/klagomålsmail/A 11732-2024 FSC-klagomål mail.docx", "A 11732-2024")</f>
        <v/>
      </c>
      <c r="AC19">
        <f>HYPERLINK("https://klasma.github.io/Logging_1281/tillsyn/A 11732-2024 tillsynsbegäran.docx", "A 11732-2024")</f>
        <v/>
      </c>
      <c r="AD19">
        <f>HYPERLINK("https://klasma.github.io/Logging_1281/tillsynsmail/A 11732-2024 tillsynsbegäran mail.docx", "A 11732-2024")</f>
        <v/>
      </c>
    </row>
    <row r="20" ht="15" customHeight="1">
      <c r="A20" t="inlineStr">
        <is>
          <t>A 29075-2023</t>
        </is>
      </c>
      <c r="B20" t="inlineStr">
        <is>
          <t>avverkningsanmälan</t>
        </is>
      </c>
      <c r="C20" t="inlineStr">
        <is>
          <t>Föryngringsavverkning</t>
        </is>
      </c>
      <c r="D20" s="1" t="n">
        <v>45104</v>
      </c>
      <c r="E20" s="1" t="n">
        <v>46324</v>
      </c>
      <c r="F20" t="inlineStr">
        <is>
          <t>SKÅNE LÄN</t>
        </is>
      </c>
      <c r="G20" t="inlineStr">
        <is>
          <t>LUND</t>
        </is>
      </c>
      <c r="I20" t="n">
        <v>0.7</v>
      </c>
      <c r="J20" t="n">
        <v>0</v>
      </c>
      <c r="K20" t="n">
        <v>0</v>
      </c>
      <c r="L20" t="n">
        <v>1</v>
      </c>
      <c r="M20" t="n">
        <v>0</v>
      </c>
      <c r="N20" t="n">
        <v>0</v>
      </c>
      <c r="O20" t="n">
        <v>0</v>
      </c>
      <c r="P20" t="n">
        <v>0</v>
      </c>
      <c r="Q20" t="n">
        <v>1</v>
      </c>
      <c r="R20" t="n">
        <v>0</v>
      </c>
      <c r="S20" t="n">
        <v>1</v>
      </c>
      <c r="T20" t="n">
        <v>1</v>
      </c>
      <c r="U20" t="n">
        <v>1</v>
      </c>
      <c r="V20" s="2" t="inlineStr">
        <is>
          <t>Bokvårtlav</t>
        </is>
      </c>
      <c r="W20">
        <f>HYPERLINK("https://klasma.github.io/Logging_1281/artfynd/A 29075-2023 artfynd.xlsx", "A 29075-2023")</f>
        <v/>
      </c>
      <c r="X20">
        <f>HYPERLINK("https://klasma.github.io/Logging_1281/kartor/A 29075-2023 karta.png", "A 29075-2023")</f>
        <v/>
      </c>
      <c r="Y20">
        <f>HYPERLINK("https://klasma.github.io/Logging_1281/kartor_geotiff/A 29075-2023 georefererad karta.tif", "A 29075-2023")</f>
        <v/>
      </c>
      <c r="AA20">
        <f>HYPERLINK("https://klasma.github.io/Logging_1281/klagomål/A 29075-2023 FSC-klagomål.docx", "A 29075-2023")</f>
        <v/>
      </c>
      <c r="AB20">
        <f>HYPERLINK("https://klasma.github.io/Logging_1281/klagomålsmail/A 29075-2023 FSC-klagomål mail.docx", "A 29075-2023")</f>
        <v/>
      </c>
      <c r="AC20">
        <f>HYPERLINK("https://klasma.github.io/Logging_1281/tillsyn/A 29075-2023 tillsynsbegäran.docx", "A 29075-2023")</f>
        <v/>
      </c>
      <c r="AD20">
        <f>HYPERLINK("https://klasma.github.io/Logging_1281/tillsynsmail/A 29075-2023 tillsynsbegäran mail.docx", "A 29075-2023")</f>
        <v/>
      </c>
    </row>
    <row r="21" ht="15" customHeight="1">
      <c r="A21" t="inlineStr">
        <is>
          <t>S 2231-2022</t>
        </is>
      </c>
      <c r="B21" t="inlineStr">
        <is>
          <t>samrådsanmälan</t>
        </is>
      </c>
      <c r="C21" t="inlineStr">
        <is>
          <t>Åtgärd i nyckelbiotop</t>
        </is>
      </c>
      <c r="D21" s="1" t="n">
        <v>44679</v>
      </c>
      <c r="E21" s="1" t="n">
        <v>46324</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46324</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17519-2023</t>
        </is>
      </c>
      <c r="B23" t="inlineStr">
        <is>
          <t>avverkningsanmälan</t>
        </is>
      </c>
      <c r="C23" t="inlineStr">
        <is>
          <t>Avverkning för annat ändamål</t>
        </is>
      </c>
      <c r="D23" s="1" t="n">
        <v>45036</v>
      </c>
      <c r="E23" s="1" t="n">
        <v>46324</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16499-2025</t>
        </is>
      </c>
      <c r="B24" t="inlineStr">
        <is>
          <t>avverkningsanmälan</t>
        </is>
      </c>
      <c r="C24" t="inlineStr">
        <is>
          <t>Föryngringsavverkning</t>
        </is>
      </c>
      <c r="D24" s="1" t="n">
        <v>45751</v>
      </c>
      <c r="E24" s="1" t="n">
        <v>46324</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59918-2022</t>
        </is>
      </c>
      <c r="B25" t="inlineStr">
        <is>
          <t>avverkningsanmälan</t>
        </is>
      </c>
      <c r="C25" t="inlineStr">
        <is>
          <t>Föryngringsavverkning</t>
        </is>
      </c>
      <c r="D25" s="1" t="n">
        <v>44909</v>
      </c>
      <c r="E25" s="1" t="n">
        <v>46324</v>
      </c>
      <c r="F25" t="inlineStr">
        <is>
          <t>SKÅNE LÄN</t>
        </is>
      </c>
      <c r="G25" t="inlineStr">
        <is>
          <t>LUND</t>
        </is>
      </c>
      <c r="I25" t="n">
        <v>1.6</v>
      </c>
      <c r="J25" t="n">
        <v>0</v>
      </c>
      <c r="K25" t="n">
        <v>0</v>
      </c>
      <c r="L25" t="n">
        <v>0</v>
      </c>
      <c r="M25" t="n">
        <v>0</v>
      </c>
      <c r="N25" t="n">
        <v>0</v>
      </c>
      <c r="O25" t="n">
        <v>0</v>
      </c>
      <c r="P25" t="n">
        <v>0</v>
      </c>
      <c r="Q25" t="n">
        <v>0</v>
      </c>
      <c r="R25" t="n">
        <v>0</v>
      </c>
      <c r="S25" t="n">
        <v>0</v>
      </c>
      <c r="T25" t="n">
        <v>0</v>
      </c>
      <c r="U25" t="n">
        <v>0</v>
      </c>
      <c r="V25" s="2" t="inlineStr"/>
    </row>
    <row r="26" ht="15" customHeight="1">
      <c r="A26" t="inlineStr">
        <is>
          <t>A 13754-2022</t>
        </is>
      </c>
      <c r="B26" t="inlineStr">
        <is>
          <t>avverkningsanmälan</t>
        </is>
      </c>
      <c r="C26" t="inlineStr">
        <is>
          <t>Föryngringsavverkning</t>
        </is>
      </c>
      <c r="D26" s="1" t="n">
        <v>44649</v>
      </c>
      <c r="E26" s="1" t="n">
        <v>46324</v>
      </c>
      <c r="F26" t="inlineStr">
        <is>
          <t>SKÅNE LÄN</t>
        </is>
      </c>
      <c r="G26" t="inlineStr">
        <is>
          <t>LUND</t>
        </is>
      </c>
      <c r="I26" t="n">
        <v>2</v>
      </c>
      <c r="J26" t="n">
        <v>0</v>
      </c>
      <c r="K26" t="n">
        <v>0</v>
      </c>
      <c r="L26" t="n">
        <v>0</v>
      </c>
      <c r="M26" t="n">
        <v>0</v>
      </c>
      <c r="N26" t="n">
        <v>0</v>
      </c>
      <c r="O26" t="n">
        <v>0</v>
      </c>
      <c r="P26" t="n">
        <v>0</v>
      </c>
      <c r="Q26" t="n">
        <v>0</v>
      </c>
      <c r="R26" t="n">
        <v>0</v>
      </c>
      <c r="S26" t="n">
        <v>0</v>
      </c>
      <c r="T26" t="n">
        <v>0</v>
      </c>
      <c r="U26" t="n">
        <v>0</v>
      </c>
      <c r="V26" s="2" t="inlineStr"/>
    </row>
    <row r="27" ht="15" customHeight="1">
      <c r="A27" t="inlineStr">
        <is>
          <t>A 58335-2025</t>
        </is>
      </c>
      <c r="B27" t="inlineStr">
        <is>
          <t>avverkningsanmälan</t>
        </is>
      </c>
      <c r="C27" t="inlineStr">
        <is>
          <t>Föryngringsavverkning</t>
        </is>
      </c>
      <c r="D27" s="1" t="n">
        <v>45985</v>
      </c>
      <c r="E27" s="1" t="n">
        <v>46324</v>
      </c>
      <c r="F27" t="inlineStr">
        <is>
          <t>SKÅNE LÄN</t>
        </is>
      </c>
      <c r="G27" t="inlineStr">
        <is>
          <t>LUND</t>
        </is>
      </c>
      <c r="I27" t="n">
        <v>2.5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46324</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31773-2023</t>
        </is>
      </c>
      <c r="B29" t="inlineStr">
        <is>
          <t>avverkningsanmälan</t>
        </is>
      </c>
      <c r="C29" t="inlineStr">
        <is>
          <t>Föryngringsavverkning</t>
        </is>
      </c>
      <c r="D29" s="1" t="n">
        <v>45118</v>
      </c>
      <c r="E29" s="1" t="n">
        <v>46324</v>
      </c>
      <c r="F29" t="inlineStr">
        <is>
          <t>SKÅNE LÄN</t>
        </is>
      </c>
      <c r="G29" t="inlineStr">
        <is>
          <t>LUND</t>
        </is>
      </c>
      <c r="H29" t="inlineStr">
        <is>
          <t>Kommuner</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29083-2023</t>
        </is>
      </c>
      <c r="B30" t="inlineStr">
        <is>
          <t>avverkningsanmälan</t>
        </is>
      </c>
      <c r="C30" t="inlineStr">
        <is>
          <t>Föryngringsavverkning</t>
        </is>
      </c>
      <c r="D30" s="1" t="n">
        <v>45105</v>
      </c>
      <c r="E30" s="1" t="n">
        <v>46324</v>
      </c>
      <c r="F30" t="inlineStr">
        <is>
          <t>SKÅNE LÄN</t>
        </is>
      </c>
      <c r="G30" t="inlineStr">
        <is>
          <t>LUND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5059-2025</t>
        </is>
      </c>
      <c r="B31" t="inlineStr">
        <is>
          <t>avverkningsanmälan</t>
        </is>
      </c>
      <c r="C31" t="inlineStr">
        <is>
          <t>Föryngringsavverkning</t>
        </is>
      </c>
      <c r="D31" s="1" t="n">
        <v>45691</v>
      </c>
      <c r="E31" s="1" t="n">
        <v>46324</v>
      </c>
      <c r="F31" t="inlineStr">
        <is>
          <t>SKÅNE LÄN</t>
        </is>
      </c>
      <c r="G31" t="inlineStr">
        <is>
          <t>LUND</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49297-2023</t>
        </is>
      </c>
      <c r="B32" t="inlineStr">
        <is>
          <t>avverkningsanmälan</t>
        </is>
      </c>
      <c r="C32" t="inlineStr">
        <is>
          <t>Föryngringsavverkning</t>
        </is>
      </c>
      <c r="D32" s="1" t="n">
        <v>45210</v>
      </c>
      <c r="E32" s="1" t="n">
        <v>46324</v>
      </c>
      <c r="F32" t="inlineStr">
        <is>
          <t>SKÅNE LÄN</t>
        </is>
      </c>
      <c r="G32" t="inlineStr">
        <is>
          <t>LUND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44646-2023</t>
        </is>
      </c>
      <c r="B33" t="inlineStr">
        <is>
          <t>avverkningsanmälan</t>
        </is>
      </c>
      <c r="C33" t="inlineStr">
        <is>
          <t>Föryngringsavverkning</t>
        </is>
      </c>
      <c r="D33" s="1" t="n">
        <v>45189</v>
      </c>
      <c r="E33" s="1" t="n">
        <v>46324</v>
      </c>
      <c r="F33" t="inlineStr">
        <is>
          <t>SKÅNE LÄN</t>
        </is>
      </c>
      <c r="G33" t="inlineStr">
        <is>
          <t>LUND</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9889-2026</t>
        </is>
      </c>
      <c r="B34" t="inlineStr">
        <is>
          <t>avverkningsanmälan</t>
        </is>
      </c>
      <c r="C34" t="inlineStr">
        <is>
          <t>Föryngringsavverkning</t>
        </is>
      </c>
      <c r="D34" s="1" t="n">
        <v>46073</v>
      </c>
      <c r="E34" s="1" t="n">
        <v>46324</v>
      </c>
      <c r="F34" t="inlineStr">
        <is>
          <t>SKÅNE LÄN</t>
        </is>
      </c>
      <c r="G34" t="inlineStr">
        <is>
          <t>LUND</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46324</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33019-2026</t>
        </is>
      </c>
      <c r="B36" t="inlineStr">
        <is>
          <t>avverkningsanmälan</t>
        </is>
      </c>
      <c r="C36" t="inlineStr">
        <is>
          <t>Föryngringsavverkning</t>
        </is>
      </c>
      <c r="D36" s="1" t="n">
        <v>46244</v>
      </c>
      <c r="E36" s="1" t="n">
        <v>46324</v>
      </c>
      <c r="F36" t="inlineStr">
        <is>
          <t>SKÅNE LÄN</t>
        </is>
      </c>
      <c r="G36" t="inlineStr">
        <is>
          <t>LUND</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20277-2026</t>
        </is>
      </c>
      <c r="B37" t="inlineStr">
        <is>
          <t>avverkningsanmälan</t>
        </is>
      </c>
      <c r="C37" t="inlineStr">
        <is>
          <t>Föryngringsavverkning</t>
        </is>
      </c>
      <c r="D37" s="1" t="n">
        <v>46139</v>
      </c>
      <c r="E37" s="1" t="n">
        <v>46324</v>
      </c>
      <c r="F37" t="inlineStr">
        <is>
          <t>SKÅNE LÄN</t>
        </is>
      </c>
      <c r="G37" t="inlineStr">
        <is>
          <t>LUND</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28885-2022</t>
        </is>
      </c>
      <c r="B38" t="inlineStr">
        <is>
          <t>avverkningsanmälan</t>
        </is>
      </c>
      <c r="C38" t="inlineStr">
        <is>
          <t>Föryngringsavverkning</t>
        </is>
      </c>
      <c r="D38" s="1" t="n">
        <v>44749</v>
      </c>
      <c r="E38" s="1" t="n">
        <v>46324</v>
      </c>
      <c r="F38" t="inlineStr">
        <is>
          <t>SKÅNE LÄN</t>
        </is>
      </c>
      <c r="G38" t="inlineStr">
        <is>
          <t>LUND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32972-2024</t>
        </is>
      </c>
      <c r="B39" t="inlineStr">
        <is>
          <t>avverkningsanmälan</t>
        </is>
      </c>
      <c r="C39" t="inlineStr">
        <is>
          <t>Föryngringsavverkning</t>
        </is>
      </c>
      <c r="D39" s="1" t="n">
        <v>45517</v>
      </c>
      <c r="E39" s="1" t="n">
        <v>46324</v>
      </c>
      <c r="F39" t="inlineStr">
        <is>
          <t>SKÅNE LÄN</t>
        </is>
      </c>
      <c r="G39" t="inlineStr">
        <is>
          <t>LUND</t>
        </is>
      </c>
      <c r="H39" t="inlineStr">
        <is>
          <t>Kommuner</t>
        </is>
      </c>
      <c r="I39" t="n">
        <v>20.7</v>
      </c>
      <c r="J39" t="n">
        <v>0</v>
      </c>
      <c r="K39" t="n">
        <v>0</v>
      </c>
      <c r="L39" t="n">
        <v>0</v>
      </c>
      <c r="M39" t="n">
        <v>0</v>
      </c>
      <c r="N39" t="n">
        <v>0</v>
      </c>
      <c r="O39" t="n">
        <v>0</v>
      </c>
      <c r="P39" t="n">
        <v>0</v>
      </c>
      <c r="Q39" t="n">
        <v>0</v>
      </c>
      <c r="R39" t="n">
        <v>0</v>
      </c>
      <c r="S39" t="n">
        <v>0</v>
      </c>
      <c r="T39" t="n">
        <v>0</v>
      </c>
      <c r="U39" t="n">
        <v>0</v>
      </c>
      <c r="V39" s="2" t="inlineStr"/>
    </row>
    <row r="40" ht="15" customHeight="1">
      <c r="A40" t="inlineStr">
        <is>
          <t>A 45725-2022</t>
        </is>
      </c>
      <c r="B40" t="inlineStr">
        <is>
          <t>avverkningsanmälan</t>
        </is>
      </c>
      <c r="C40" t="inlineStr">
        <is>
          <t>Föryngringsavverkning</t>
        </is>
      </c>
      <c r="D40" s="1" t="n">
        <v>44846</v>
      </c>
      <c r="E40" s="1" t="n">
        <v>46324</v>
      </c>
      <c r="F40" t="inlineStr">
        <is>
          <t>SKÅNE LÄN</t>
        </is>
      </c>
      <c r="G40" t="inlineStr">
        <is>
          <t>LUND</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21767-2023</t>
        </is>
      </c>
      <c r="B41" t="inlineStr">
        <is>
          <t>avverkningsanmälan</t>
        </is>
      </c>
      <c r="C41" t="inlineStr">
        <is>
          <t>Föryngringsavverkning</t>
        </is>
      </c>
      <c r="D41" s="1" t="n">
        <v>45065</v>
      </c>
      <c r="E41" s="1" t="n">
        <v>46324</v>
      </c>
      <c r="F41" t="inlineStr">
        <is>
          <t>SKÅNE LÄN</t>
        </is>
      </c>
      <c r="G41" t="inlineStr">
        <is>
          <t>LUND</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46324</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46324</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2026-10-29T03:13:35Z</dcterms:created>
  <dcterms:modified xmlns:dcterms="http://purl.org/dc/terms/" xmlns:xsi="http://www.w3.org/2001/XMLSchema-instance" xsi:type="dcterms:W3CDTF">2026-10-29T03:13:35Z</dcterms:modified>
</cp:coreProperties>
</file>