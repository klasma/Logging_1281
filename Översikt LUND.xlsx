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46003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46003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44740.72620370371</v>
      </c>
      <c r="C4" s="1" t="n">
        <v>46003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22776-2024</t>
        </is>
      </c>
      <c r="B5" s="1" t="n">
        <v>45448.47032407407</v>
      </c>
      <c r="C5" s="1" t="n">
        <v>46003</v>
      </c>
      <c r="D5" t="inlineStr">
        <is>
          <t>SKÅNE LÄN</t>
        </is>
      </c>
      <c r="E5" t="inlineStr">
        <is>
          <t>LUND</t>
        </is>
      </c>
      <c r="G5" t="n">
        <v>5.6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Grönvit nattviol</t>
        </is>
      </c>
      <c r="S5">
        <f>HYPERLINK("https://klasma.github.io/Logging_1281/artfynd/A 22776-2024 artfynd.xlsx", "A 22776-2024")</f>
        <v/>
      </c>
      <c r="T5">
        <f>HYPERLINK("https://klasma.github.io/Logging_1281/kartor/A 22776-2024 karta.png", "A 22776-2024")</f>
        <v/>
      </c>
      <c r="V5">
        <f>HYPERLINK("https://klasma.github.io/Logging_1281/klagomål/A 22776-2024 FSC-klagomål.docx", "A 22776-2024")</f>
        <v/>
      </c>
      <c r="W5">
        <f>HYPERLINK("https://klasma.github.io/Logging_1281/klagomålsmail/A 22776-2024 FSC-klagomål mail.docx", "A 22776-2024")</f>
        <v/>
      </c>
      <c r="X5">
        <f>HYPERLINK("https://klasma.github.io/Logging_1281/tillsyn/A 22776-2024 tillsynsbegäran.docx", "A 22776-2024")</f>
        <v/>
      </c>
      <c r="Y5">
        <f>HYPERLINK("https://klasma.github.io/Logging_1281/tillsynsmail/A 22776-2024 tillsynsbegäran mail.docx", "A 22776-2024")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46003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46003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55145-2023</t>
        </is>
      </c>
      <c r="B8" s="1" t="n">
        <v>45237</v>
      </c>
      <c r="C8" s="1" t="n">
        <v>46003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HYPERLINK("https://klasma.github.io/Logging_1281/artfynd/A 55145-2023 artfynd.xlsx", "A 55145-2023")</f>
        <v/>
      </c>
      <c r="T8">
        <f>HYPERLINK("https://klasma.github.io/Logging_1281/kartor/A 55145-2023 karta.png", "A 55145-2023")</f>
        <v/>
      </c>
      <c r="V8">
        <f>HYPERLINK("https://klasma.github.io/Logging_1281/klagomål/A 55145-2023 FSC-klagomål.docx", "A 55145-2023")</f>
        <v/>
      </c>
      <c r="W8">
        <f>HYPERLINK("https://klasma.github.io/Logging_1281/klagomålsmail/A 55145-2023 FSC-klagomål mail.docx", "A 55145-2023")</f>
        <v/>
      </c>
      <c r="X8">
        <f>HYPERLINK("https://klasma.github.io/Logging_1281/tillsyn/A 55145-2023 tillsynsbegäran.docx", "A 55145-2023")</f>
        <v/>
      </c>
      <c r="Y8">
        <f>HYPERLINK("https://klasma.github.io/Logging_1281/tillsynsmail/A 55145-2023 tillsynsbegäran mail.docx", "A 55145-2023")</f>
        <v/>
      </c>
    </row>
    <row r="9" ht="15" customHeight="1">
      <c r="A9" t="inlineStr">
        <is>
          <t>A 31764-2023</t>
        </is>
      </c>
      <c r="B9" s="1" t="n">
        <v>45118</v>
      </c>
      <c r="C9" s="1" t="n">
        <v>46003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Skorpdyna</t>
        </is>
      </c>
      <c r="S9">
        <f>HYPERLINK("https://klasma.github.io/Logging_1281/artfynd/A 31764-2023 artfynd.xlsx", "A 31764-2023")</f>
        <v/>
      </c>
      <c r="T9">
        <f>HYPERLINK("https://klasma.github.io/Logging_1281/kartor/A 31764-2023 karta.png", "A 31764-2023")</f>
        <v/>
      </c>
      <c r="V9">
        <f>HYPERLINK("https://klasma.github.io/Logging_1281/klagomål/A 31764-2023 FSC-klagomål.docx", "A 31764-2023")</f>
        <v/>
      </c>
      <c r="W9">
        <f>HYPERLINK("https://klasma.github.io/Logging_1281/klagomålsmail/A 31764-2023 FSC-klagomål mail.docx", "A 31764-2023")</f>
        <v/>
      </c>
      <c r="X9">
        <f>HYPERLINK("https://klasma.github.io/Logging_1281/tillsyn/A 31764-2023 tillsynsbegäran.docx", "A 31764-2023")</f>
        <v/>
      </c>
      <c r="Y9">
        <f>HYPERLINK("https://klasma.github.io/Logging_1281/tillsynsmail/A 31764-2023 tillsynsbegäran mail.docx", "A 31764-2023")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46003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46003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35443-2021</t>
        </is>
      </c>
      <c r="B12" s="1" t="n">
        <v>44385</v>
      </c>
      <c r="C12" s="1" t="n">
        <v>46003</v>
      </c>
      <c r="D12" t="inlineStr">
        <is>
          <t>SKÅNE LÄN</t>
        </is>
      </c>
      <c r="E12" t="inlineStr">
        <is>
          <t>LUND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Klubbfibbla</t>
        </is>
      </c>
      <c r="S12">
        <f>HYPERLINK("https://klasma.github.io/Logging_1281/artfynd/A 35443-2021 artfynd.xlsx", "A 35443-2021")</f>
        <v/>
      </c>
      <c r="T12">
        <f>HYPERLINK("https://klasma.github.io/Logging_1281/kartor/A 35443-2021 karta.png", "A 35443-2021")</f>
        <v/>
      </c>
      <c r="V12">
        <f>HYPERLINK("https://klasma.github.io/Logging_1281/klagomål/A 35443-2021 FSC-klagomål.docx", "A 35443-2021")</f>
        <v/>
      </c>
      <c r="W12">
        <f>HYPERLINK("https://klasma.github.io/Logging_1281/klagomålsmail/A 35443-2021 FSC-klagomål mail.docx", "A 35443-2021")</f>
        <v/>
      </c>
      <c r="X12">
        <f>HYPERLINK("https://klasma.github.io/Logging_1281/tillsyn/A 35443-2021 tillsynsbegäran.docx", "A 35443-2021")</f>
        <v/>
      </c>
      <c r="Y12">
        <f>HYPERLINK("https://klasma.github.io/Logging_1281/tillsynsmail/A 35443-2021 tillsynsbegäran mail.docx", "A 35443-2021")</f>
        <v/>
      </c>
    </row>
    <row r="13" ht="15" customHeight="1">
      <c r="A13" t="inlineStr">
        <is>
          <t>A 4792-2025</t>
        </is>
      </c>
      <c r="B13" s="1" t="n">
        <v>45688.57549768518</v>
      </c>
      <c r="C13" s="1" t="n">
        <v>46003</v>
      </c>
      <c r="D13" t="inlineStr">
        <is>
          <t>SKÅNE LÄN</t>
        </is>
      </c>
      <c r="E13" t="inlineStr">
        <is>
          <t>LUND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Oxtungssvamp</t>
        </is>
      </c>
      <c r="S13">
        <f>HYPERLINK("https://klasma.github.io/Logging_1281/artfynd/A 4792-2025 artfynd.xlsx", "A 4792-2025")</f>
        <v/>
      </c>
      <c r="T13">
        <f>HYPERLINK("https://klasma.github.io/Logging_1281/kartor/A 4792-2025 karta.png", "A 4792-2025")</f>
        <v/>
      </c>
      <c r="V13">
        <f>HYPERLINK("https://klasma.github.io/Logging_1281/klagomål/A 4792-2025 FSC-klagomål.docx", "A 4792-2025")</f>
        <v/>
      </c>
      <c r="W13">
        <f>HYPERLINK("https://klasma.github.io/Logging_1281/klagomålsmail/A 4792-2025 FSC-klagomål mail.docx", "A 4792-2025")</f>
        <v/>
      </c>
      <c r="X13">
        <f>HYPERLINK("https://klasma.github.io/Logging_1281/tillsyn/A 4792-2025 tillsynsbegäran.docx", "A 4792-2025")</f>
        <v/>
      </c>
      <c r="Y13">
        <f>HYPERLINK("https://klasma.github.io/Logging_1281/tillsynsmail/A 4792-2025 tillsynsbegäran mail.docx", "A 4792-2025")</f>
        <v/>
      </c>
    </row>
    <row r="14" ht="15" customHeight="1">
      <c r="A14" t="inlineStr">
        <is>
          <t>A 11732-2024</t>
        </is>
      </c>
      <c r="B14" s="1" t="n">
        <v>45373.69222222222</v>
      </c>
      <c r="C14" s="1" t="n">
        <v>46003</v>
      </c>
      <c r="D14" t="inlineStr">
        <is>
          <t>SKÅNE LÄN</t>
        </is>
      </c>
      <c r="E14" t="inlineStr">
        <is>
          <t>LUND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HYPERLINK("https://klasma.github.io/Logging_1281/artfynd/A 11732-2024 artfynd.xlsx", "A 11732-2024")</f>
        <v/>
      </c>
      <c r="T14">
        <f>HYPERLINK("https://klasma.github.io/Logging_1281/kartor/A 11732-2024 karta.png", "A 11732-2024")</f>
        <v/>
      </c>
      <c r="V14">
        <f>HYPERLINK("https://klasma.github.io/Logging_1281/klagomål/A 11732-2024 FSC-klagomål.docx", "A 11732-2024")</f>
        <v/>
      </c>
      <c r="W14">
        <f>HYPERLINK("https://klasma.github.io/Logging_1281/klagomålsmail/A 11732-2024 FSC-klagomål mail.docx", "A 11732-2024")</f>
        <v/>
      </c>
      <c r="X14">
        <f>HYPERLINK("https://klasma.github.io/Logging_1281/tillsyn/A 11732-2024 tillsynsbegäran.docx", "A 11732-2024")</f>
        <v/>
      </c>
      <c r="Y14">
        <f>HYPERLINK("https://klasma.github.io/Logging_1281/tillsynsmail/A 11732-2024 tillsynsbegäran mail.docx", "A 11732-2024")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46003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46003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45688.62052083333</v>
      </c>
      <c r="C17" s="1" t="n">
        <v>46003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46003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46003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46003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46003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59918-2022</t>
        </is>
      </c>
      <c r="B22" s="1" t="n">
        <v>44909</v>
      </c>
      <c r="C22" s="1" t="n">
        <v>46003</v>
      </c>
      <c r="D22" t="inlineStr">
        <is>
          <t>SKÅNE LÄN</t>
        </is>
      </c>
      <c r="E22" t="inlineStr">
        <is>
          <t>LUND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33985-2021</t>
        </is>
      </c>
      <c r="B23" s="1" t="n">
        <v>44378</v>
      </c>
      <c r="C23" s="1" t="n">
        <v>46003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28885-2022</t>
        </is>
      </c>
      <c r="B24" s="1" t="n">
        <v>44749</v>
      </c>
      <c r="C24" s="1" t="n">
        <v>46003</v>
      </c>
      <c r="D24" t="inlineStr">
        <is>
          <t>SKÅNE LÄN</t>
        </is>
      </c>
      <c r="E24" t="inlineStr">
        <is>
          <t>LUND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14058-2025</t>
        </is>
      </c>
      <c r="B25" s="1" t="n">
        <v>45740.40390046296</v>
      </c>
      <c r="C25" s="1" t="n">
        <v>46003</v>
      </c>
      <c r="D25" t="inlineStr">
        <is>
          <t>SKÅNE LÄN</t>
        </is>
      </c>
      <c r="E25" t="inlineStr">
        <is>
          <t>LUND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16499-2025</t>
        </is>
      </c>
      <c r="B26" s="1" t="n">
        <v>45751.60246527778</v>
      </c>
      <c r="C26" s="1" t="n">
        <v>46003</v>
      </c>
      <c r="D26" t="inlineStr">
        <is>
          <t>SKÅNE LÄN</t>
        </is>
      </c>
      <c r="E26" t="inlineStr">
        <is>
          <t>LUND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59733-2023</t>
        </is>
      </c>
      <c r="B27" s="1" t="n">
        <v>45257</v>
      </c>
      <c r="C27" s="1" t="n">
        <v>46003</v>
      </c>
      <c r="D27" t="inlineStr">
        <is>
          <t>SKÅNE LÄN</t>
        </is>
      </c>
      <c r="E27" t="inlineStr">
        <is>
          <t>LUND</t>
        </is>
      </c>
      <c r="G27" t="n">
        <v>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32972-2024</t>
        </is>
      </c>
      <c r="B28" s="1" t="n">
        <v>45517.42064814815</v>
      </c>
      <c r="C28" s="1" t="n">
        <v>46003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20.7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55158-2023</t>
        </is>
      </c>
      <c r="B29" s="1" t="n">
        <v>45237</v>
      </c>
      <c r="C29" s="1" t="n">
        <v>46003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5059-2025</t>
        </is>
      </c>
      <c r="B30" s="1" t="n">
        <v>45691.47211805556</v>
      </c>
      <c r="C30" s="1" t="n">
        <v>46003</v>
      </c>
      <c r="D30" t="inlineStr">
        <is>
          <t>SKÅNE LÄN</t>
        </is>
      </c>
      <c r="E30" t="inlineStr">
        <is>
          <t>LUND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46003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8601-2023</t>
        </is>
      </c>
      <c r="B32" s="1" t="n">
        <v>44977</v>
      </c>
      <c r="C32" s="1" t="n">
        <v>46003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21767-2023</t>
        </is>
      </c>
      <c r="B33" s="1" t="n">
        <v>45065</v>
      </c>
      <c r="C33" s="1" t="n">
        <v>46003</v>
      </c>
      <c r="D33" t="inlineStr">
        <is>
          <t>SKÅNE LÄN</t>
        </is>
      </c>
      <c r="E33" t="inlineStr">
        <is>
          <t>LUND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6034-2025</t>
        </is>
      </c>
      <c r="B34" s="1" t="n">
        <v>45695.64231481482</v>
      </c>
      <c r="C34" s="1" t="n">
        <v>46003</v>
      </c>
      <c r="D34" t="inlineStr">
        <is>
          <t>SKÅNE LÄN</t>
        </is>
      </c>
      <c r="E34" t="inlineStr">
        <is>
          <t>LUND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2248-2025</t>
        </is>
      </c>
      <c r="B35" s="1" t="n">
        <v>45673.49231481482</v>
      </c>
      <c r="C35" s="1" t="n">
        <v>46003</v>
      </c>
      <c r="D35" t="inlineStr">
        <is>
          <t>SKÅNE LÄN</t>
        </is>
      </c>
      <c r="E35" t="inlineStr">
        <is>
          <t>LUND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44646-2023</t>
        </is>
      </c>
      <c r="B36" s="1" t="n">
        <v>45189</v>
      </c>
      <c r="C36" s="1" t="n">
        <v>46003</v>
      </c>
      <c r="D36" t="inlineStr">
        <is>
          <t>SKÅNE LÄN</t>
        </is>
      </c>
      <c r="E36" t="inlineStr">
        <is>
          <t>LUND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15984-2025</t>
        </is>
      </c>
      <c r="B37" s="1" t="n">
        <v>45749</v>
      </c>
      <c r="C37" s="1" t="n">
        <v>46003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29083-2023</t>
        </is>
      </c>
      <c r="B38" s="1" t="n">
        <v>45105</v>
      </c>
      <c r="C38" s="1" t="n">
        <v>46003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49297-2023</t>
        </is>
      </c>
      <c r="B39" s="1" t="n">
        <v>45210</v>
      </c>
      <c r="C39" s="1" t="n">
        <v>46003</v>
      </c>
      <c r="D39" t="inlineStr">
        <is>
          <t>SKÅNE LÄN</t>
        </is>
      </c>
      <c r="E39" t="inlineStr">
        <is>
          <t>LUND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46003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46003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46003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20057-2025</t>
        </is>
      </c>
      <c r="B43" s="1" t="n">
        <v>45772</v>
      </c>
      <c r="C43" s="1" t="n">
        <v>46003</v>
      </c>
      <c r="D43" t="inlineStr">
        <is>
          <t>SKÅNE LÄN</t>
        </is>
      </c>
      <c r="E43" t="inlineStr">
        <is>
          <t>LUND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29247-2025</t>
        </is>
      </c>
      <c r="B44" s="1" t="n">
        <v>45824</v>
      </c>
      <c r="C44" s="1" t="n">
        <v>46003</v>
      </c>
      <c r="D44" t="inlineStr">
        <is>
          <t>SKÅNE LÄN</t>
        </is>
      </c>
      <c r="E44" t="inlineStr">
        <is>
          <t>LUND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58335-2025</t>
        </is>
      </c>
      <c r="B45" s="1" t="n">
        <v>45985.48332175926</v>
      </c>
      <c r="C45" s="1" t="n">
        <v>46003</v>
      </c>
      <c r="D45" t="inlineStr">
        <is>
          <t>SKÅNE LÄN</t>
        </is>
      </c>
      <c r="E45" t="inlineStr">
        <is>
          <t>LUND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58337-2025</t>
        </is>
      </c>
      <c r="B46" s="1" t="n">
        <v>45985.48895833334</v>
      </c>
      <c r="C46" s="1" t="n">
        <v>46003</v>
      </c>
      <c r="D46" t="inlineStr">
        <is>
          <t>SKÅNE LÄN</t>
        </is>
      </c>
      <c r="E46" t="inlineStr">
        <is>
          <t>LUND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58488-2025</t>
        </is>
      </c>
      <c r="B47" s="1" t="n">
        <v>45985.66210648148</v>
      </c>
      <c r="C47" s="1" t="n">
        <v>46003</v>
      </c>
      <c r="D47" t="inlineStr">
        <is>
          <t>SKÅNE LÄN</t>
        </is>
      </c>
      <c r="E47" t="inlineStr">
        <is>
          <t>LUND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59206-2025</t>
        </is>
      </c>
      <c r="B48" s="1" t="n">
        <v>45988.60881944445</v>
      </c>
      <c r="C48" s="1" t="n">
        <v>46003</v>
      </c>
      <c r="D48" t="inlineStr">
        <is>
          <t>SKÅNE LÄN</t>
        </is>
      </c>
      <c r="E48" t="inlineStr">
        <is>
          <t>LUND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34484-2025</t>
        </is>
      </c>
      <c r="B49" s="1" t="n">
        <v>45847.39517361111</v>
      </c>
      <c r="C49" s="1" t="n">
        <v>46003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2025-12-12T10:29:48Z</dcterms:created>
  <dcterms:modified xmlns:dcterms="http://purl.org/dc/terms/" xmlns:xsi="http://www.w3.org/2001/XMLSchema-instance" xsi:type="dcterms:W3CDTF">2025-12-12T10:29:49Z</dcterms:modified>
</cp:coreProperties>
</file>