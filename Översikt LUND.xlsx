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46128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46128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46128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46128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4816-2025</t>
        </is>
      </c>
      <c r="B6" s="1" t="n">
        <v>45688.62052083333</v>
      </c>
      <c r="C6" s="1" t="n">
        <v>46128</v>
      </c>
      <c r="D6" t="inlineStr">
        <is>
          <t>SKÅNE LÄN</t>
        </is>
      </c>
      <c r="E6" t="inlineStr">
        <is>
          <t>LUND</t>
        </is>
      </c>
      <c r="G6" t="n">
        <v>7.7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Sydlig sotticka
Strutbräken</t>
        </is>
      </c>
      <c r="S6">
        <f>HYPERLINK("https://klasma.github.io/Logging_1281/artfynd/A 4816-2025 artfynd.xlsx", "A 4816-2025")</f>
        <v/>
      </c>
      <c r="T6">
        <f>HYPERLINK("https://klasma.github.io/Logging_1281/kartor/A 4816-2025 karta.png", "A 4816-2025")</f>
        <v/>
      </c>
      <c r="V6">
        <f>HYPERLINK("https://klasma.github.io/Logging_1281/klagomål/A 4816-2025 FSC-klagomål.docx", "A 4816-2025")</f>
        <v/>
      </c>
      <c r="W6">
        <f>HYPERLINK("https://klasma.github.io/Logging_1281/klagomålsmail/A 4816-2025 FSC-klagomål mail.docx", "A 4816-2025")</f>
        <v/>
      </c>
      <c r="X6">
        <f>HYPERLINK("https://klasma.github.io/Logging_1281/tillsyn/A 4816-2025 tillsynsbegäran.docx", "A 4816-2025")</f>
        <v/>
      </c>
      <c r="Y6">
        <f>HYPERLINK("https://klasma.github.io/Logging_1281/tillsynsmail/A 4816-2025 tillsynsbegäran mail.docx", "A 4816-2025")</f>
        <v/>
      </c>
    </row>
    <row r="7" ht="15" customHeight="1">
      <c r="A7" t="inlineStr">
        <is>
          <t>A 26984-2022</t>
        </is>
      </c>
      <c r="B7" s="1" t="n">
        <v>44740.72620370371</v>
      </c>
      <c r="C7" s="1" t="n">
        <v>46128</v>
      </c>
      <c r="D7" t="inlineStr">
        <is>
          <t>SKÅNE LÄN</t>
        </is>
      </c>
      <c r="E7" t="inlineStr">
        <is>
          <t>LUND</t>
        </is>
      </c>
      <c r="G7" t="n">
        <v>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Lökgroda
Strandpadda</t>
        </is>
      </c>
      <c r="S7">
        <f>HYPERLINK("https://klasma.github.io/Logging_1281/artfynd/A 26984-2022 artfynd.xlsx", "A 26984-2022")</f>
        <v/>
      </c>
      <c r="T7">
        <f>HYPERLINK("https://klasma.github.io/Logging_1281/kartor/A 26984-2022 karta.png", "A 26984-2022")</f>
        <v/>
      </c>
      <c r="V7">
        <f>HYPERLINK("https://klasma.github.io/Logging_1281/klagomål/A 26984-2022 FSC-klagomål.docx", "A 26984-2022")</f>
        <v/>
      </c>
      <c r="W7">
        <f>HYPERLINK("https://klasma.github.io/Logging_1281/klagomålsmail/A 26984-2022 FSC-klagomål mail.docx", "A 26984-2022")</f>
        <v/>
      </c>
      <c r="X7">
        <f>HYPERLINK("https://klasma.github.io/Logging_1281/tillsyn/A 26984-2022 tillsynsbegäran.docx", "A 26984-2022")</f>
        <v/>
      </c>
      <c r="Y7">
        <f>HYPERLINK("https://klasma.github.io/Logging_1281/tillsynsmail/A 26984-2022 tillsynsbegäran mail.docx", "A 26984-2022")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46128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46128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46128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46128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46128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46128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46128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46128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46128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35443-2021</t>
        </is>
      </c>
      <c r="B17" s="1" t="n">
        <v>44385</v>
      </c>
      <c r="C17" s="1" t="n">
        <v>46128</v>
      </c>
      <c r="D17" t="inlineStr">
        <is>
          <t>SKÅNE LÄN</t>
        </is>
      </c>
      <c r="E17" t="inlineStr">
        <is>
          <t>LUND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Klubbfibbla</t>
        </is>
      </c>
      <c r="S17">
        <f>HYPERLINK("https://klasma.github.io/Logging_1281/artfynd/A 35443-2021 artfynd.xlsx", "A 35443-2021")</f>
        <v/>
      </c>
      <c r="T17">
        <f>HYPERLINK("https://klasma.github.io/Logging_1281/kartor/A 35443-2021 karta.png", "A 35443-2021")</f>
        <v/>
      </c>
      <c r="V17">
        <f>HYPERLINK("https://klasma.github.io/Logging_1281/klagomål/A 35443-2021 FSC-klagomål.docx", "A 35443-2021")</f>
        <v/>
      </c>
      <c r="W17">
        <f>HYPERLINK("https://klasma.github.io/Logging_1281/klagomålsmail/A 35443-2021 FSC-klagomål mail.docx", "A 35443-2021")</f>
        <v/>
      </c>
      <c r="X17">
        <f>HYPERLINK("https://klasma.github.io/Logging_1281/tillsyn/A 35443-2021 tillsynsbegäran.docx", "A 35443-2021")</f>
        <v/>
      </c>
      <c r="Y17">
        <f>HYPERLINK("https://klasma.github.io/Logging_1281/tillsynsmail/A 35443-2021 tillsynsbegäran mail.docx", "A 35443-2021")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46128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46128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46128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17519-2023</t>
        </is>
      </c>
      <c r="B21" s="1" t="n">
        <v>45036</v>
      </c>
      <c r="C21" s="1" t="n">
        <v>46128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59918-2022</t>
        </is>
      </c>
      <c r="B22" s="1" t="n">
        <v>44909</v>
      </c>
      <c r="C22" s="1" t="n">
        <v>46128</v>
      </c>
      <c r="D22" t="inlineStr">
        <is>
          <t>SKÅNE LÄN</t>
        </is>
      </c>
      <c r="E22" t="inlineStr">
        <is>
          <t>LUND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46128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46128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45740.40390046296</v>
      </c>
      <c r="C25" s="1" t="n">
        <v>46128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45725-2022</t>
        </is>
      </c>
      <c r="B26" s="1" t="n">
        <v>44846</v>
      </c>
      <c r="C26" s="1" t="n">
        <v>46128</v>
      </c>
      <c r="D26" t="inlineStr">
        <is>
          <t>SKÅNE LÄN</t>
        </is>
      </c>
      <c r="E26" t="inlineStr">
        <is>
          <t>LUND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8601-2023</t>
        </is>
      </c>
      <c r="B27" s="1" t="n">
        <v>44977</v>
      </c>
      <c r="C27" s="1" t="n">
        <v>46128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46128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46128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29247-2025</t>
        </is>
      </c>
      <c r="B30" s="1" t="n">
        <v>45824</v>
      </c>
      <c r="C30" s="1" t="n">
        <v>46128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46128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46128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13754-2022</t>
        </is>
      </c>
      <c r="B33" s="1" t="n">
        <v>44649</v>
      </c>
      <c r="C33" s="1" t="n">
        <v>46128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46128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46128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46128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46128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46128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46128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46128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59733-2023</t>
        </is>
      </c>
      <c r="B41" s="1" t="n">
        <v>45257</v>
      </c>
      <c r="C41" s="1" t="n">
        <v>46128</v>
      </c>
      <c r="D41" t="inlineStr">
        <is>
          <t>SKÅNE LÄN</t>
        </is>
      </c>
      <c r="E41" t="inlineStr">
        <is>
          <t>LUND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55158-2023</t>
        </is>
      </c>
      <c r="B42" s="1" t="n">
        <v>45237</v>
      </c>
      <c r="C42" s="1" t="n">
        <v>46128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32972-2024</t>
        </is>
      </c>
      <c r="B43" s="1" t="n">
        <v>45517.42064814815</v>
      </c>
      <c r="C43" s="1" t="n">
        <v>46128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20.7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5059-2025</t>
        </is>
      </c>
      <c r="B44" s="1" t="n">
        <v>45691.47211805556</v>
      </c>
      <c r="C44" s="1" t="n">
        <v>46128</v>
      </c>
      <c r="D44" t="inlineStr">
        <is>
          <t>SKÅNE LÄN</t>
        </is>
      </c>
      <c r="E44" t="inlineStr">
        <is>
          <t>LUND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29075-2023</t>
        </is>
      </c>
      <c r="B45" s="1" t="n">
        <v>45104</v>
      </c>
      <c r="C45" s="1" t="n">
        <v>46128</v>
      </c>
      <c r="D45" t="inlineStr">
        <is>
          <t>SKÅNE LÄN</t>
        </is>
      </c>
      <c r="E45" t="inlineStr">
        <is>
          <t>LUND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46128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46128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46128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46128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46128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2026-04-16T10:25:38Z</dcterms:created>
  <dcterms:modified xmlns:dcterms="http://purl.org/dc/terms/" xmlns:xsi="http://www.w3.org/2001/XMLSchema-instance" xsi:type="dcterms:W3CDTF">2026-04-16T10:25:38Z</dcterms:modified>
</cp:coreProperties>
</file>