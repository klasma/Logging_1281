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45939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45939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45939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45939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45939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45939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45939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45939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45939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4792-2025</t>
        </is>
      </c>
      <c r="B11" s="1" t="n">
        <v>45688.57549768518</v>
      </c>
      <c r="C11" s="1" t="n">
        <v>45939</v>
      </c>
      <c r="D11" t="inlineStr">
        <is>
          <t>SKÅNE LÄN</t>
        </is>
      </c>
      <c r="E11" t="inlineStr">
        <is>
          <t>LUND</t>
        </is>
      </c>
      <c r="G11" t="n">
        <v>5.9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Oxtungssvamp</t>
        </is>
      </c>
      <c r="S11">
        <f>HYPERLINK("https://klasma.github.io/Logging_1281/artfynd/A 4792-2025 artfynd.xlsx", "A 4792-2025")</f>
        <v/>
      </c>
      <c r="T11">
        <f>HYPERLINK("https://klasma.github.io/Logging_1281/kartor/A 4792-2025 karta.png", "A 4792-2025")</f>
        <v/>
      </c>
      <c r="V11">
        <f>HYPERLINK("https://klasma.github.io/Logging_1281/klagomål/A 4792-2025 FSC-klagomål.docx", "A 4792-2025")</f>
        <v/>
      </c>
      <c r="W11">
        <f>HYPERLINK("https://klasma.github.io/Logging_1281/klagomålsmail/A 4792-2025 FSC-klagomål mail.docx", "A 4792-2025")</f>
        <v/>
      </c>
      <c r="X11">
        <f>HYPERLINK("https://klasma.github.io/Logging_1281/tillsyn/A 4792-2025 tillsynsbegäran.docx", "A 4792-2025")</f>
        <v/>
      </c>
      <c r="Y11">
        <f>HYPERLINK("https://klasma.github.io/Logging_1281/tillsynsmail/A 4792-2025 tillsynsbegäran mail.docx", "A 4792-2025")</f>
        <v/>
      </c>
    </row>
    <row r="12" ht="15" customHeight="1">
      <c r="A12" t="inlineStr">
        <is>
          <t>A 72269-2021</t>
        </is>
      </c>
      <c r="B12" s="1" t="n">
        <v>44543</v>
      </c>
      <c r="C12" s="1" t="n">
        <v>45939</v>
      </c>
      <c r="D12" t="inlineStr">
        <is>
          <t>SKÅNE LÄN</t>
        </is>
      </c>
      <c r="E12" t="inlineStr">
        <is>
          <t>LUND</t>
        </is>
      </c>
      <c r="G12" t="n">
        <v>3.2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häxört</t>
        </is>
      </c>
      <c r="S12">
        <f>HYPERLINK("https://klasma.github.io/Logging_1281/artfynd/A 72269-2021 artfynd.xlsx", "A 72269-2021")</f>
        <v/>
      </c>
      <c r="T12">
        <f>HYPERLINK("https://klasma.github.io/Logging_1281/kartor/A 72269-2021 karta.png", "A 72269-2021")</f>
        <v/>
      </c>
      <c r="V12">
        <f>HYPERLINK("https://klasma.github.io/Logging_1281/klagomål/A 72269-2021 FSC-klagomål.docx", "A 72269-2021")</f>
        <v/>
      </c>
      <c r="W12">
        <f>HYPERLINK("https://klasma.github.io/Logging_1281/klagomålsmail/A 72269-2021 FSC-klagomål mail.docx", "A 72269-2021")</f>
        <v/>
      </c>
      <c r="X12">
        <f>HYPERLINK("https://klasma.github.io/Logging_1281/tillsyn/A 72269-2021 tillsynsbegäran.docx", "A 72269-2021")</f>
        <v/>
      </c>
      <c r="Y12">
        <f>HYPERLINK("https://klasma.github.io/Logging_1281/tillsynsmail/A 72269-2021 tillsynsbegäran mail.docx", "A 72269-2021")</f>
        <v/>
      </c>
    </row>
    <row r="13" ht="15" customHeight="1">
      <c r="A13" t="inlineStr">
        <is>
          <t>A 55145-2023</t>
        </is>
      </c>
      <c r="B13" s="1" t="n">
        <v>45237</v>
      </c>
      <c r="C13" s="1" t="n">
        <v>45939</v>
      </c>
      <c r="D13" t="inlineStr">
        <is>
          <t>SKÅNE LÄN</t>
        </is>
      </c>
      <c r="E13" t="inlineStr">
        <is>
          <t>LUND</t>
        </is>
      </c>
      <c r="F13" t="inlineStr">
        <is>
          <t>Kommuner</t>
        </is>
      </c>
      <c r="G13" t="n">
        <v>4.5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HYPERLINK("https://klasma.github.io/Logging_1281/artfynd/A 55145-2023 artfynd.xlsx", "A 55145-2023")</f>
        <v/>
      </c>
      <c r="T13">
        <f>HYPERLINK("https://klasma.github.io/Logging_1281/kartor/A 55145-2023 karta.png", "A 55145-2023")</f>
        <v/>
      </c>
      <c r="V13">
        <f>HYPERLINK("https://klasma.github.io/Logging_1281/klagomål/A 55145-2023 FSC-klagomål.docx", "A 55145-2023")</f>
        <v/>
      </c>
      <c r="W13">
        <f>HYPERLINK("https://klasma.github.io/Logging_1281/klagomålsmail/A 55145-2023 FSC-klagomål mail.docx", "A 55145-2023")</f>
        <v/>
      </c>
      <c r="X13">
        <f>HYPERLINK("https://klasma.github.io/Logging_1281/tillsyn/A 55145-2023 tillsynsbegäran.docx", "A 55145-2023")</f>
        <v/>
      </c>
      <c r="Y13">
        <f>HYPERLINK("https://klasma.github.io/Logging_1281/tillsynsmail/A 55145-2023 tillsynsbegäran mail.docx", "A 55145-2023")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45939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4746-2025</t>
        </is>
      </c>
      <c r="B15" s="1" t="n">
        <v>45688.46011574074</v>
      </c>
      <c r="C15" s="1" t="n">
        <v>45939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4816-2025</t>
        </is>
      </c>
      <c r="B16" s="1" t="n">
        <v>45688.62052083333</v>
      </c>
      <c r="C16" s="1" t="n">
        <v>45939</v>
      </c>
      <c r="D16" t="inlineStr">
        <is>
          <t>SKÅNE LÄN</t>
        </is>
      </c>
      <c r="E16" t="inlineStr">
        <is>
          <t>LUND</t>
        </is>
      </c>
      <c r="G16" t="n">
        <v>7.7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HYPERLINK("https://klasma.github.io/Logging_1281/artfynd/A 4816-2025 artfynd.xlsx", "A 4816-2025")</f>
        <v/>
      </c>
      <c r="T16">
        <f>HYPERLINK("https://klasma.github.io/Logging_1281/kartor/A 4816-2025 karta.png", "A 4816-2025")</f>
        <v/>
      </c>
      <c r="V16">
        <f>HYPERLINK("https://klasma.github.io/Logging_1281/klagomål/A 4816-2025 FSC-klagomål.docx", "A 4816-2025")</f>
        <v/>
      </c>
      <c r="W16">
        <f>HYPERLINK("https://klasma.github.io/Logging_1281/klagomålsmail/A 4816-2025 FSC-klagomål mail.docx", "A 4816-2025")</f>
        <v/>
      </c>
      <c r="X16">
        <f>HYPERLINK("https://klasma.github.io/Logging_1281/tillsyn/A 4816-2025 tillsynsbegäran.docx", "A 4816-2025")</f>
        <v/>
      </c>
      <c r="Y16">
        <f>HYPERLINK("https://klasma.github.io/Logging_1281/tillsynsmail/A 4816-2025 tillsynsbegäran mail.docx", "A 4816-2025")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45939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45939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45939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45725-2022</t>
        </is>
      </c>
      <c r="B20" s="1" t="n">
        <v>44846</v>
      </c>
      <c r="C20" s="1" t="n">
        <v>45939</v>
      </c>
      <c r="D20" t="inlineStr">
        <is>
          <t>SKÅNE LÄN</t>
        </is>
      </c>
      <c r="E20" t="inlineStr">
        <is>
          <t>LUND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59918-2022</t>
        </is>
      </c>
      <c r="B21" s="1" t="n">
        <v>44909</v>
      </c>
      <c r="C21" s="1" t="n">
        <v>45939</v>
      </c>
      <c r="D21" t="inlineStr">
        <is>
          <t>SKÅNE LÄN</t>
        </is>
      </c>
      <c r="E21" t="inlineStr">
        <is>
          <t>LUND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44646-2023</t>
        </is>
      </c>
      <c r="B22" s="1" t="n">
        <v>45189</v>
      </c>
      <c r="C22" s="1" t="n">
        <v>45939</v>
      </c>
      <c r="D22" t="inlineStr">
        <is>
          <t>SKÅNE LÄN</t>
        </is>
      </c>
      <c r="E22" t="inlineStr">
        <is>
          <t>LUND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15984-2025</t>
        </is>
      </c>
      <c r="B23" s="1" t="n">
        <v>45749</v>
      </c>
      <c r="C23" s="1" t="n">
        <v>45939</v>
      </c>
      <c r="D23" t="inlineStr">
        <is>
          <t>SKÅNE LÄN</t>
        </is>
      </c>
      <c r="E23" t="inlineStr">
        <is>
          <t>LUND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33985-2021</t>
        </is>
      </c>
      <c r="B24" s="1" t="n">
        <v>44378</v>
      </c>
      <c r="C24" s="1" t="n">
        <v>45939</v>
      </c>
      <c r="D24" t="inlineStr">
        <is>
          <t>SKÅNE LÄN</t>
        </is>
      </c>
      <c r="E24" t="inlineStr">
        <is>
          <t>LUND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29083-2023</t>
        </is>
      </c>
      <c r="B25" s="1" t="n">
        <v>45105</v>
      </c>
      <c r="C25" s="1" t="n">
        <v>45939</v>
      </c>
      <c r="D25" t="inlineStr">
        <is>
          <t>SKÅNE LÄN</t>
        </is>
      </c>
      <c r="E25" t="inlineStr">
        <is>
          <t>LUND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49297-2023</t>
        </is>
      </c>
      <c r="B26" s="1" t="n">
        <v>45210</v>
      </c>
      <c r="C26" s="1" t="n">
        <v>45939</v>
      </c>
      <c r="D26" t="inlineStr">
        <is>
          <t>SKÅNE LÄN</t>
        </is>
      </c>
      <c r="E26" t="inlineStr">
        <is>
          <t>LUND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14058-2025</t>
        </is>
      </c>
      <c r="B27" s="1" t="n">
        <v>45740.40390046296</v>
      </c>
      <c r="C27" s="1" t="n">
        <v>45939</v>
      </c>
      <c r="D27" t="inlineStr">
        <is>
          <t>SKÅNE LÄN</t>
        </is>
      </c>
      <c r="E27" t="inlineStr">
        <is>
          <t>LUND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17519-2023</t>
        </is>
      </c>
      <c r="B28" s="1" t="n">
        <v>45036</v>
      </c>
      <c r="C28" s="1" t="n">
        <v>45939</v>
      </c>
      <c r="D28" t="inlineStr">
        <is>
          <t>SKÅNE LÄN</t>
        </is>
      </c>
      <c r="E28" t="inlineStr">
        <is>
          <t>LUND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32972-2024</t>
        </is>
      </c>
      <c r="B29" s="1" t="n">
        <v>45517.42064814815</v>
      </c>
      <c r="C29" s="1" t="n">
        <v>45939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20.7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45939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45939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8601-2023</t>
        </is>
      </c>
      <c r="B32" s="1" t="n">
        <v>44977</v>
      </c>
      <c r="C32" s="1" t="n">
        <v>45939</v>
      </c>
      <c r="D32" t="inlineStr">
        <is>
          <t>SKÅNE LÄN</t>
        </is>
      </c>
      <c r="E32" t="inlineStr">
        <is>
          <t>LUND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6034-2025</t>
        </is>
      </c>
      <c r="B33" s="1" t="n">
        <v>45695.64231481482</v>
      </c>
      <c r="C33" s="1" t="n">
        <v>45939</v>
      </c>
      <c r="D33" t="inlineStr">
        <is>
          <t>SKÅNE LÄN</t>
        </is>
      </c>
      <c r="E33" t="inlineStr">
        <is>
          <t>LUND</t>
        </is>
      </c>
      <c r="G33" t="n">
        <v>10.2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21767-2023</t>
        </is>
      </c>
      <c r="B34" s="1" t="n">
        <v>45065</v>
      </c>
      <c r="C34" s="1" t="n">
        <v>45939</v>
      </c>
      <c r="D34" t="inlineStr">
        <is>
          <t>SKÅNE LÄN</t>
        </is>
      </c>
      <c r="E34" t="inlineStr">
        <is>
          <t>LUND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2248-2025</t>
        </is>
      </c>
      <c r="B35" s="1" t="n">
        <v>45673.49231481482</v>
      </c>
      <c r="C35" s="1" t="n">
        <v>45939</v>
      </c>
      <c r="D35" t="inlineStr">
        <is>
          <t>SKÅNE LÄN</t>
        </is>
      </c>
      <c r="E35" t="inlineStr">
        <is>
          <t>LUND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31773-2023</t>
        </is>
      </c>
      <c r="B36" s="1" t="n">
        <v>45118</v>
      </c>
      <c r="C36" s="1" t="n">
        <v>45939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13754-2022</t>
        </is>
      </c>
      <c r="B37" s="1" t="n">
        <v>44649</v>
      </c>
      <c r="C37" s="1" t="n">
        <v>45939</v>
      </c>
      <c r="D37" t="inlineStr">
        <is>
          <t>SKÅNE LÄN</t>
        </is>
      </c>
      <c r="E37" t="inlineStr">
        <is>
          <t>LUND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45939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29247-2025</t>
        </is>
      </c>
      <c r="B39" s="1" t="n">
        <v>45824</v>
      </c>
      <c r="C39" s="1" t="n">
        <v>45939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28885-2022</t>
        </is>
      </c>
      <c r="B40" s="1" t="n">
        <v>44749</v>
      </c>
      <c r="C40" s="1" t="n">
        <v>45939</v>
      </c>
      <c r="D40" t="inlineStr">
        <is>
          <t>SKÅNE LÄN</t>
        </is>
      </c>
      <c r="E40" t="inlineStr">
        <is>
          <t>LUND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16499-2025</t>
        </is>
      </c>
      <c r="B41" s="1" t="n">
        <v>45751.60246527778</v>
      </c>
      <c r="C41" s="1" t="n">
        <v>45939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45939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45939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34484-2025</t>
        </is>
      </c>
      <c r="B44" s="1" t="n">
        <v>45847.39517361111</v>
      </c>
      <c r="C44" s="1" t="n">
        <v>45939</v>
      </c>
      <c r="D44" t="inlineStr">
        <is>
          <t>SKÅNE LÄN</t>
        </is>
      </c>
      <c r="E44" t="inlineStr">
        <is>
          <t>LUND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2025-10-09T12:34:38Z</dcterms:created>
  <dcterms:modified xmlns:dcterms="http://purl.org/dc/terms/" xmlns:xsi="http://www.w3.org/2001/XMLSchema-instance" xsi:type="dcterms:W3CDTF">2025-10-09T12:34:38Z</dcterms:modified>
</cp:coreProperties>
</file>