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46284</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46284</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46284</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46284</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46284</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46284</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46284</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46284</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46284</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46284</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46284</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46284</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46284</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11732-2024</t>
        </is>
      </c>
      <c r="B16" t="inlineStr">
        <is>
          <t>avverkningsanmälan</t>
        </is>
      </c>
      <c r="C16" t="inlineStr">
        <is>
          <t>Föryngringsavverkning</t>
        </is>
      </c>
      <c r="D16" s="1" t="n">
        <v>45373</v>
      </c>
      <c r="E16" s="1" t="n">
        <v>46284</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29075-2023</t>
        </is>
      </c>
      <c r="B17" t="inlineStr">
        <is>
          <t>avverkningsanmälan</t>
        </is>
      </c>
      <c r="C17" t="inlineStr">
        <is>
          <t>Föryngringsavverkning</t>
        </is>
      </c>
      <c r="D17" s="1" t="n">
        <v>45104</v>
      </c>
      <c r="E17" s="1" t="n">
        <v>46284</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39260-2025</t>
        </is>
      </c>
      <c r="B18" t="inlineStr">
        <is>
          <t>avverkningsanmälan</t>
        </is>
      </c>
      <c r="C18" t="inlineStr">
        <is>
          <t>Föryngringsavverkning</t>
        </is>
      </c>
      <c r="D18" s="1" t="n">
        <v>45889</v>
      </c>
      <c r="E18" s="1" t="n">
        <v>46284</v>
      </c>
      <c r="F18" t="inlineStr">
        <is>
          <t>SKÅNE LÄN</t>
        </is>
      </c>
      <c r="G18" t="inlineStr">
        <is>
          <t>LUND</t>
        </is>
      </c>
      <c r="I18" t="n">
        <v>7.6</v>
      </c>
      <c r="J18" t="n">
        <v>1</v>
      </c>
      <c r="K18" t="n">
        <v>0</v>
      </c>
      <c r="L18" t="n">
        <v>0</v>
      </c>
      <c r="M18" t="n">
        <v>0</v>
      </c>
      <c r="N18" t="n">
        <v>0</v>
      </c>
      <c r="O18" t="n">
        <v>0</v>
      </c>
      <c r="P18" t="n">
        <v>0</v>
      </c>
      <c r="Q18" t="n">
        <v>0</v>
      </c>
      <c r="R18" t="n">
        <v>0</v>
      </c>
      <c r="S18" t="n">
        <v>1</v>
      </c>
      <c r="T18" t="n">
        <v>1</v>
      </c>
      <c r="U18" t="n">
        <v>0</v>
      </c>
      <c r="V18" s="2" t="inlineStr">
        <is>
          <t>Skogsödla</t>
        </is>
      </c>
      <c r="W18">
        <f>HYPERLINK("https://klasma.github.io/Logging_1281/artfynd/A 39260-2025 artfynd.xlsx", "A 39260-2025")</f>
        <v/>
      </c>
      <c r="X18">
        <f>HYPERLINK("https://klasma.github.io/Logging_1281/kartor/A 39260-2025 karta.png", "A 39260-2025")</f>
        <v/>
      </c>
      <c r="Y18">
        <f>HYPERLINK("https://klasma.github.io/Logging_1281/kartor_geotiff/A 39260-2025 georefererad karta.tif", "A 39260-2025")</f>
        <v/>
      </c>
      <c r="AA18">
        <f>HYPERLINK("https://klasma.github.io/Logging_1281/klagomål/A 39260-2025 FSC-klagomål.docx", "A 39260-2025")</f>
        <v/>
      </c>
      <c r="AB18">
        <f>HYPERLINK("https://klasma.github.io/Logging_1281/klagomålsmail/A 39260-2025 FSC-klagomål mail.docx", "A 39260-2025")</f>
        <v/>
      </c>
      <c r="AC18">
        <f>HYPERLINK("https://klasma.github.io/Logging_1281/tillsyn/A 39260-2025 tillsynsbegäran.docx", "A 39260-2025")</f>
        <v/>
      </c>
      <c r="AD18">
        <f>HYPERLINK("https://klasma.github.io/Logging_1281/tillsynsmail/A 39260-2025 tillsynsbegäran mail.docx", "A 39260-2025")</f>
        <v/>
      </c>
    </row>
    <row r="19" ht="15" customHeight="1">
      <c r="A19" t="inlineStr">
        <is>
          <t>A 59227-2025</t>
        </is>
      </c>
      <c r="B19" t="inlineStr">
        <is>
          <t>avverkningsanmälan</t>
        </is>
      </c>
      <c r="C19" t="inlineStr">
        <is>
          <t>Föryngringsavverkning</t>
        </is>
      </c>
      <c r="D19" s="1" t="n">
        <v>45988</v>
      </c>
      <c r="E19" s="1" t="n">
        <v>46284</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46284</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46284</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A 4746-2025</t>
        </is>
      </c>
      <c r="B22" t="inlineStr">
        <is>
          <t>avverkningsanmälan</t>
        </is>
      </c>
      <c r="C22" t="inlineStr">
        <is>
          <t>Föryngringsavverkning</t>
        </is>
      </c>
      <c r="D22" s="1" t="n">
        <v>45688</v>
      </c>
      <c r="E22" s="1" t="n">
        <v>46284</v>
      </c>
      <c r="F22" t="inlineStr">
        <is>
          <t>SKÅNE LÄN</t>
        </is>
      </c>
      <c r="G22" t="inlineStr">
        <is>
          <t>LUND</t>
        </is>
      </c>
      <c r="I22" t="n">
        <v>1.1</v>
      </c>
      <c r="J22" t="n">
        <v>1</v>
      </c>
      <c r="K22" t="n">
        <v>0</v>
      </c>
      <c r="L22" t="n">
        <v>0</v>
      </c>
      <c r="M22" t="n">
        <v>0</v>
      </c>
      <c r="N22" t="n">
        <v>0</v>
      </c>
      <c r="O22" t="n">
        <v>0</v>
      </c>
      <c r="P22" t="n">
        <v>0</v>
      </c>
      <c r="Q22" t="n">
        <v>0</v>
      </c>
      <c r="R22" t="n">
        <v>0</v>
      </c>
      <c r="S22" t="n">
        <v>1</v>
      </c>
      <c r="T22" t="n">
        <v>1</v>
      </c>
      <c r="U22" t="n">
        <v>0</v>
      </c>
      <c r="V22" s="2" t="inlineStr">
        <is>
          <t>Svartvit flugsnappare</t>
        </is>
      </c>
      <c r="W22">
        <f>HYPERLINK("https://klasma.github.io/Logging_1281/artfynd/A 4746-2025 artfynd.xlsx", "A 4746-2025")</f>
        <v/>
      </c>
      <c r="X22">
        <f>HYPERLINK("https://klasma.github.io/Logging_1281/kartor/A 4746-2025 karta.png", "A 4746-2025")</f>
        <v/>
      </c>
      <c r="Y22">
        <f>HYPERLINK("https://klasma.github.io/Logging_1281/kartor_geotiff/A 4746-2025 georefererad karta.tif", "A 4746-2025")</f>
        <v/>
      </c>
      <c r="AA22">
        <f>HYPERLINK("https://klasma.github.io/Logging_1281/klagomål/A 4746-2025 FSC-klagomål.docx", "A 4746-2025")</f>
        <v/>
      </c>
      <c r="AB22">
        <f>HYPERLINK("https://klasma.github.io/Logging_1281/klagomålsmail/A 4746-2025 FSC-klagomål mail.docx", "A 4746-2025")</f>
        <v/>
      </c>
      <c r="AC22">
        <f>HYPERLINK("https://klasma.github.io/Logging_1281/tillsyn/A 4746-2025 tillsynsbegäran.docx", "A 4746-2025")</f>
        <v/>
      </c>
      <c r="AD22">
        <f>HYPERLINK("https://klasma.github.io/Logging_1281/tillsynsmail/A 4746-2025 tillsynsbegäran mail.docx", "A 4746-2025")</f>
        <v/>
      </c>
    </row>
    <row r="23" ht="15" customHeight="1">
      <c r="A23" t="inlineStr">
        <is>
          <t>S 2231-2022</t>
        </is>
      </c>
      <c r="B23" t="inlineStr">
        <is>
          <t>samrådsanmälan</t>
        </is>
      </c>
      <c r="C23" t="inlineStr">
        <is>
          <t>Åtgärd i nyckelbiotop</t>
        </is>
      </c>
      <c r="D23" s="1" t="n">
        <v>44679</v>
      </c>
      <c r="E23" s="1" t="n">
        <v>46284</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46284</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46284</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46284</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46284</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20277-2026</t>
        </is>
      </c>
      <c r="B28" t="inlineStr">
        <is>
          <t>avverkningsanmälan</t>
        </is>
      </c>
      <c r="C28" t="inlineStr">
        <is>
          <t>Föryngringsavverkning</t>
        </is>
      </c>
      <c r="D28" s="1" t="n">
        <v>46139</v>
      </c>
      <c r="E28" s="1" t="n">
        <v>46284</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45725-2022</t>
        </is>
      </c>
      <c r="B29" t="inlineStr">
        <is>
          <t>avverkningsanmälan</t>
        </is>
      </c>
      <c r="C29" t="inlineStr">
        <is>
          <t>Föryngringsavverkning</t>
        </is>
      </c>
      <c r="D29" s="1" t="n">
        <v>44846</v>
      </c>
      <c r="E29" s="1" t="n">
        <v>46284</v>
      </c>
      <c r="F29" t="inlineStr">
        <is>
          <t>SKÅNE LÄN</t>
        </is>
      </c>
      <c r="G29" t="inlineStr">
        <is>
          <t>LUND</t>
        </is>
      </c>
      <c r="I29" t="n">
        <v>1.2</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46284</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46284</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58337-2025</t>
        </is>
      </c>
      <c r="B32" t="inlineStr">
        <is>
          <t>avverkningsanmälan</t>
        </is>
      </c>
      <c r="C32" t="inlineStr">
        <is>
          <t>Föryngringsavverkning</t>
        </is>
      </c>
      <c r="D32" s="1" t="n">
        <v>45985</v>
      </c>
      <c r="E32" s="1" t="n">
        <v>46284</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46284</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46284</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9889-2026</t>
        </is>
      </c>
      <c r="B35" t="inlineStr">
        <is>
          <t>avverkningsanmälan</t>
        </is>
      </c>
      <c r="C35" t="inlineStr">
        <is>
          <t>Föryngringsavverkning</t>
        </is>
      </c>
      <c r="D35" s="1" t="n">
        <v>46073</v>
      </c>
      <c r="E35" s="1" t="n">
        <v>46284</v>
      </c>
      <c r="F35" t="inlineStr">
        <is>
          <t>SKÅNE LÄN</t>
        </is>
      </c>
      <c r="G35" t="inlineStr">
        <is>
          <t>LUND</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46284</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46284</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46284</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33019-2026</t>
        </is>
      </c>
      <c r="B39" t="inlineStr">
        <is>
          <t>avverkningsanmälan</t>
        </is>
      </c>
      <c r="C39" t="inlineStr">
        <is>
          <t>Föryngringsavverkning</t>
        </is>
      </c>
      <c r="D39" s="1" t="n">
        <v>46244</v>
      </c>
      <c r="E39" s="1" t="n">
        <v>46284</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46284</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46284</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46284</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A 44646-2023</t>
        </is>
      </c>
      <c r="B43" t="inlineStr">
        <is>
          <t>avverkningsanmälan</t>
        </is>
      </c>
      <c r="C43" t="inlineStr">
        <is>
          <t>Föryngringsavverkning</t>
        </is>
      </c>
      <c r="D43" s="1" t="n">
        <v>45189</v>
      </c>
      <c r="E43" s="1" t="n">
        <v>46284</v>
      </c>
      <c r="F43" t="inlineStr">
        <is>
          <t>SKÅNE LÄN</t>
        </is>
      </c>
      <c r="G43" t="inlineStr">
        <is>
          <t>LUND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46284</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46284</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2026-09-19T02:05:16Z</dcterms:created>
  <dcterms:modified xmlns:dcterms="http://purl.org/dc/terms/" xmlns:xsi="http://www.w3.org/2001/XMLSchema-instance" xsi:type="dcterms:W3CDTF">2026-09-19T02:05:16Z</dcterms:modified>
</cp:coreProperties>
</file>