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46257</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46257</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46257</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31764-2023</t>
        </is>
      </c>
      <c r="B5" t="inlineStr">
        <is>
          <t>avverkningsanmälan</t>
        </is>
      </c>
      <c r="C5" t="inlineStr">
        <is>
          <t>Föryngringsavverkning</t>
        </is>
      </c>
      <c r="D5" s="1" t="n">
        <v>45118</v>
      </c>
      <c r="E5" s="1" t="n">
        <v>46257</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4816-2025</t>
        </is>
      </c>
      <c r="B6" t="inlineStr">
        <is>
          <t>avverkningsanmälan</t>
        </is>
      </c>
      <c r="C6" t="inlineStr">
        <is>
          <t>Föryngringsavverkning</t>
        </is>
      </c>
      <c r="D6" s="1" t="n">
        <v>45688</v>
      </c>
      <c r="E6" s="1" t="n">
        <v>46257</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57726-2024</t>
        </is>
      </c>
      <c r="B7" t="inlineStr">
        <is>
          <t>avverkningsanmälan</t>
        </is>
      </c>
      <c r="C7" t="inlineStr">
        <is>
          <t>Föryngringsavverkning</t>
        </is>
      </c>
      <c r="D7" s="1" t="n">
        <v>45630</v>
      </c>
      <c r="E7" s="1" t="n">
        <v>46257</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46257</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46257</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46257</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46257</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46257</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46257</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46257</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39260-2025</t>
        </is>
      </c>
      <c r="B15" t="inlineStr">
        <is>
          <t>avverkningsanmälan</t>
        </is>
      </c>
      <c r="C15" t="inlineStr">
        <is>
          <t>Föryngringsavverkning</t>
        </is>
      </c>
      <c r="D15" s="1" t="n">
        <v>45889</v>
      </c>
      <c r="E15" s="1" t="n">
        <v>46257</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55158-2023</t>
        </is>
      </c>
      <c r="B16" t="inlineStr">
        <is>
          <t>avverkningsanmälan</t>
        </is>
      </c>
      <c r="C16" t="inlineStr">
        <is>
          <t>Föryngringsavverkning</t>
        </is>
      </c>
      <c r="D16" s="1" t="n">
        <v>45237</v>
      </c>
      <c r="E16" s="1" t="n">
        <v>46257</v>
      </c>
      <c r="F16" t="inlineStr">
        <is>
          <t>SKÅNE LÄN</t>
        </is>
      </c>
      <c r="G16" t="inlineStr">
        <is>
          <t>LUND</t>
        </is>
      </c>
      <c r="H16" t="inlineStr">
        <is>
          <t>Kommuner</t>
        </is>
      </c>
      <c r="I16" t="n">
        <v>0.7</v>
      </c>
      <c r="J16" t="n">
        <v>0</v>
      </c>
      <c r="K16" t="n">
        <v>0</v>
      </c>
      <c r="L16" t="n">
        <v>1</v>
      </c>
      <c r="M16" t="n">
        <v>0</v>
      </c>
      <c r="N16" t="n">
        <v>0</v>
      </c>
      <c r="O16" t="n">
        <v>0</v>
      </c>
      <c r="P16" t="n">
        <v>0</v>
      </c>
      <c r="Q16" t="n">
        <v>1</v>
      </c>
      <c r="R16" t="n">
        <v>0</v>
      </c>
      <c r="S16" t="n">
        <v>1</v>
      </c>
      <c r="T16" t="n">
        <v>2</v>
      </c>
      <c r="U16" t="n">
        <v>0</v>
      </c>
      <c r="V16" s="2" t="inlineStr">
        <is>
          <t>Backtimjan</t>
        </is>
      </c>
      <c r="W16">
        <f>HYPERLINK("https://klasma.github.io/Logging_1281/artfynd/A 55158-2023 artfynd.xlsx", "A 55158-2023")</f>
        <v/>
      </c>
      <c r="X16">
        <f>HYPERLINK("https://klasma.github.io/Logging_1281/kartor/A 55158-2023 karta.png", "A 55158-2023")</f>
        <v/>
      </c>
      <c r="Y16">
        <f>HYPERLINK("https://klasma.github.io/Logging_1281/kartor_geotiff/A 55158-2023 georefererad karta.tif", "A 55158-2023")</f>
        <v/>
      </c>
      <c r="AA16">
        <f>HYPERLINK("https://klasma.github.io/Logging_1281/klagomål/A 55158-2023 FSC-klagomål.docx", "A 55158-2023")</f>
        <v/>
      </c>
      <c r="AB16">
        <f>HYPERLINK("https://klasma.github.io/Logging_1281/klagomålsmail/A 55158-2023 FSC-klagomål mail.docx", "A 55158-2023")</f>
        <v/>
      </c>
      <c r="AC16">
        <f>HYPERLINK("https://klasma.github.io/Logging_1281/tillsyn/A 55158-2023 tillsynsbegäran.docx", "A 55158-2023")</f>
        <v/>
      </c>
      <c r="AD16">
        <f>HYPERLINK("https://klasma.github.io/Logging_1281/tillsynsmail/A 55158-2023 tillsynsbegäran mail.docx", "A 55158-2023")</f>
        <v/>
      </c>
    </row>
    <row r="17" ht="15" customHeight="1">
      <c r="A17" t="inlineStr">
        <is>
          <t>A 4746-2025</t>
        </is>
      </c>
      <c r="B17" t="inlineStr">
        <is>
          <t>avverkningsanmälan</t>
        </is>
      </c>
      <c r="C17" t="inlineStr">
        <is>
          <t>Föryngringsavverkning</t>
        </is>
      </c>
      <c r="D17" s="1" t="n">
        <v>45688</v>
      </c>
      <c r="E17" s="1" t="n">
        <v>46257</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11732-2024</t>
        </is>
      </c>
      <c r="B18" t="inlineStr">
        <is>
          <t>avverkningsanmälan</t>
        </is>
      </c>
      <c r="C18" t="inlineStr">
        <is>
          <t>Föryngringsavverkning</t>
        </is>
      </c>
      <c r="D18" s="1" t="n">
        <v>45373</v>
      </c>
      <c r="E18" s="1" t="n">
        <v>46257</v>
      </c>
      <c r="F18" t="inlineStr">
        <is>
          <t>SKÅNE LÄN</t>
        </is>
      </c>
      <c r="G18" t="inlineStr">
        <is>
          <t>LUND</t>
        </is>
      </c>
      <c r="I18" t="n">
        <v>2.8</v>
      </c>
      <c r="J18" t="n">
        <v>1</v>
      </c>
      <c r="K18" t="n">
        <v>0</v>
      </c>
      <c r="L18" t="n">
        <v>0</v>
      </c>
      <c r="M18" t="n">
        <v>0</v>
      </c>
      <c r="N18" t="n">
        <v>1</v>
      </c>
      <c r="O18" t="n">
        <v>0</v>
      </c>
      <c r="P18" t="n">
        <v>0</v>
      </c>
      <c r="Q18" t="n">
        <v>1</v>
      </c>
      <c r="R18" t="n">
        <v>1</v>
      </c>
      <c r="S18" t="n">
        <v>1</v>
      </c>
      <c r="T18" t="n">
        <v>2</v>
      </c>
      <c r="U18" t="n">
        <v>2</v>
      </c>
      <c r="V18" s="2" t="inlineStr">
        <is>
          <t>Dvärgjohannesört</t>
        </is>
      </c>
      <c r="W18">
        <f>HYPERLINK("https://klasma.github.io/Logging_1281/artfynd/A 11732-2024 artfynd.xlsx", "A 11732-2024")</f>
        <v/>
      </c>
      <c r="X18">
        <f>HYPERLINK("https://klasma.github.io/Logging_1281/kartor/A 11732-2024 karta.png", "A 11732-2024")</f>
        <v/>
      </c>
      <c r="Y18">
        <f>HYPERLINK("https://klasma.github.io/Logging_1281/kartor_geotiff/A 11732-2024 georefererad karta.tif", "A 11732-2024")</f>
        <v/>
      </c>
      <c r="AA18">
        <f>HYPERLINK("https://klasma.github.io/Logging_1281/klagomål/A 11732-2024 FSC-klagomål.docx", "A 11732-2024")</f>
        <v/>
      </c>
      <c r="AB18">
        <f>HYPERLINK("https://klasma.github.io/Logging_1281/klagomålsmail/A 11732-2024 FSC-klagomål mail.docx", "A 11732-2024")</f>
        <v/>
      </c>
      <c r="AC18">
        <f>HYPERLINK("https://klasma.github.io/Logging_1281/tillsyn/A 11732-2024 tillsynsbegäran.docx", "A 11732-2024")</f>
        <v/>
      </c>
      <c r="AD18">
        <f>HYPERLINK("https://klasma.github.io/Logging_1281/tillsynsmail/A 11732-2024 tillsynsbegäran mail.docx", "A 11732-2024")</f>
        <v/>
      </c>
    </row>
    <row r="19" ht="15" customHeight="1">
      <c r="A19" t="inlineStr">
        <is>
          <t>A 59227-2025</t>
        </is>
      </c>
      <c r="B19" t="inlineStr">
        <is>
          <t>avverkningsanmälan</t>
        </is>
      </c>
      <c r="C19" t="inlineStr">
        <is>
          <t>Föryngringsavverkning</t>
        </is>
      </c>
      <c r="D19" s="1" t="n">
        <v>45988</v>
      </c>
      <c r="E19" s="1" t="n">
        <v>46257</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46257</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46257</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46257</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46257</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46257</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46257</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46257</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46257</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46257</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17519-2023</t>
        </is>
      </c>
      <c r="B29" t="inlineStr">
        <is>
          <t>avverkningsanmälan</t>
        </is>
      </c>
      <c r="C29" t="inlineStr">
        <is>
          <t>Avverkning för annat ändamål</t>
        </is>
      </c>
      <c r="D29" s="1" t="n">
        <v>45036</v>
      </c>
      <c r="E29" s="1" t="n">
        <v>46257</v>
      </c>
      <c r="F29" t="inlineStr">
        <is>
          <t>SKÅNE LÄN</t>
        </is>
      </c>
      <c r="G29" t="inlineStr">
        <is>
          <t>LUND</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28885-2022</t>
        </is>
      </c>
      <c r="B30" t="inlineStr">
        <is>
          <t>avverkningsanmälan</t>
        </is>
      </c>
      <c r="C30" t="inlineStr">
        <is>
          <t>Föryngringsavverkning</t>
        </is>
      </c>
      <c r="D30" s="1" t="n">
        <v>44749</v>
      </c>
      <c r="E30" s="1" t="n">
        <v>46257</v>
      </c>
      <c r="F30" t="inlineStr">
        <is>
          <t>SKÅNE LÄN</t>
        </is>
      </c>
      <c r="G30" t="inlineStr">
        <is>
          <t>LUND</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16499-2025</t>
        </is>
      </c>
      <c r="B31" t="inlineStr">
        <is>
          <t>avverkningsanmälan</t>
        </is>
      </c>
      <c r="C31" t="inlineStr">
        <is>
          <t>Föryngringsavverkning</t>
        </is>
      </c>
      <c r="D31" s="1" t="n">
        <v>45751</v>
      </c>
      <c r="E31" s="1" t="n">
        <v>46257</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32972-2024</t>
        </is>
      </c>
      <c r="B32" t="inlineStr">
        <is>
          <t>avverkningsanmälan</t>
        </is>
      </c>
      <c r="C32" t="inlineStr">
        <is>
          <t>Föryngringsavverkning</t>
        </is>
      </c>
      <c r="D32" s="1" t="n">
        <v>45517</v>
      </c>
      <c r="E32" s="1" t="n">
        <v>46257</v>
      </c>
      <c r="F32" t="inlineStr">
        <is>
          <t>SKÅNE LÄN</t>
        </is>
      </c>
      <c r="G32" t="inlineStr">
        <is>
          <t>LUND</t>
        </is>
      </c>
      <c r="H32" t="inlineStr">
        <is>
          <t>Kommuner</t>
        </is>
      </c>
      <c r="I32" t="n">
        <v>20.7</v>
      </c>
      <c r="J32" t="n">
        <v>0</v>
      </c>
      <c r="K32" t="n">
        <v>0</v>
      </c>
      <c r="L32" t="n">
        <v>0</v>
      </c>
      <c r="M32" t="n">
        <v>0</v>
      </c>
      <c r="N32" t="n">
        <v>0</v>
      </c>
      <c r="O32" t="n">
        <v>0</v>
      </c>
      <c r="P32" t="n">
        <v>0</v>
      </c>
      <c r="Q32" t="n">
        <v>0</v>
      </c>
      <c r="R32" t="n">
        <v>0</v>
      </c>
      <c r="S32" t="n">
        <v>0</v>
      </c>
      <c r="T32" t="n">
        <v>0</v>
      </c>
      <c r="U32" t="n">
        <v>0</v>
      </c>
      <c r="V32" s="2" t="inlineStr"/>
    </row>
    <row r="33" ht="15" customHeight="1">
      <c r="A33" t="inlineStr">
        <is>
          <t>A 59918-2022</t>
        </is>
      </c>
      <c r="B33" t="inlineStr">
        <is>
          <t>avverkningsanmälan</t>
        </is>
      </c>
      <c r="C33" t="inlineStr">
        <is>
          <t>Föryngringsavverkning</t>
        </is>
      </c>
      <c r="D33" s="1" t="n">
        <v>44909</v>
      </c>
      <c r="E33" s="1" t="n">
        <v>46257</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9889-2026</t>
        </is>
      </c>
      <c r="B34" t="inlineStr">
        <is>
          <t>avverkningsanmälan</t>
        </is>
      </c>
      <c r="C34" t="inlineStr">
        <is>
          <t>Föryngringsavverkning</t>
        </is>
      </c>
      <c r="D34" s="1" t="n">
        <v>46073</v>
      </c>
      <c r="E34" s="1" t="n">
        <v>46257</v>
      </c>
      <c r="F34" t="inlineStr">
        <is>
          <t>SKÅNE LÄN</t>
        </is>
      </c>
      <c r="G34" t="inlineStr">
        <is>
          <t>LUND</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46257</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31773-2023</t>
        </is>
      </c>
      <c r="B36" t="inlineStr">
        <is>
          <t>avverkningsanmälan</t>
        </is>
      </c>
      <c r="C36" t="inlineStr">
        <is>
          <t>Föryngringsavverkning</t>
        </is>
      </c>
      <c r="D36" s="1" t="n">
        <v>45118</v>
      </c>
      <c r="E36" s="1" t="n">
        <v>46257</v>
      </c>
      <c r="F36" t="inlineStr">
        <is>
          <t>SKÅNE LÄN</t>
        </is>
      </c>
      <c r="G36" t="inlineStr">
        <is>
          <t>LUND</t>
        </is>
      </c>
      <c r="H36" t="inlineStr">
        <is>
          <t>Kommuner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46257</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46257</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46257</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46257</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20277-2026</t>
        </is>
      </c>
      <c r="B41" t="inlineStr">
        <is>
          <t>avverkningsanmälan</t>
        </is>
      </c>
      <c r="C41" t="inlineStr">
        <is>
          <t>Föryngringsavverkning</t>
        </is>
      </c>
      <c r="D41" s="1" t="n">
        <v>46139</v>
      </c>
      <c r="E41" s="1" t="n">
        <v>46257</v>
      </c>
      <c r="F41" t="inlineStr">
        <is>
          <t>SKÅNE LÄN</t>
        </is>
      </c>
      <c r="G41" t="inlineStr">
        <is>
          <t>LUND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46257</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46257</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46257</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2026-08-23T01:51:59Z</dcterms:created>
  <dcterms:modified xmlns:dcterms="http://purl.org/dc/terms/" xmlns:xsi="http://www.w3.org/2001/XMLSchema-instance" xsi:type="dcterms:W3CDTF">2026-08-23T01:51:59Z</dcterms:modified>
</cp:coreProperties>
</file>