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46250</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46250</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46250</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31764-2023</t>
        </is>
      </c>
      <c r="B5" t="inlineStr">
        <is>
          <t>avverkningsanmälan</t>
        </is>
      </c>
      <c r="C5" t="inlineStr">
        <is>
          <t>Föryngringsavverkning</t>
        </is>
      </c>
      <c r="D5" s="1" t="n">
        <v>45118</v>
      </c>
      <c r="E5" s="1" t="n">
        <v>46250</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46250</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46250</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46250</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46250</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46250</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46250</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46250</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46250</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39260-2025</t>
        </is>
      </c>
      <c r="B14" t="inlineStr">
        <is>
          <t>avverkningsanmälan</t>
        </is>
      </c>
      <c r="C14" t="inlineStr">
        <is>
          <t>Föryngringsavverkning</t>
        </is>
      </c>
      <c r="D14" s="1" t="n">
        <v>45889</v>
      </c>
      <c r="E14" s="1" t="n">
        <v>46250</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55158-2023</t>
        </is>
      </c>
      <c r="B15" t="inlineStr">
        <is>
          <t>avverkningsanmälan</t>
        </is>
      </c>
      <c r="C15" t="inlineStr">
        <is>
          <t>Föryngringsavverkning</t>
        </is>
      </c>
      <c r="D15" s="1" t="n">
        <v>45237</v>
      </c>
      <c r="E15" s="1" t="n">
        <v>46250</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29075-2023</t>
        </is>
      </c>
      <c r="B16" t="inlineStr">
        <is>
          <t>avverkningsanmälan</t>
        </is>
      </c>
      <c r="C16" t="inlineStr">
        <is>
          <t>Föryngringsavverkning</t>
        </is>
      </c>
      <c r="D16" s="1" t="n">
        <v>45104</v>
      </c>
      <c r="E16" s="1" t="n">
        <v>46250</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46250</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59227-2025</t>
        </is>
      </c>
      <c r="B18" t="inlineStr">
        <is>
          <t>avverkningsanmälan</t>
        </is>
      </c>
      <c r="C18" t="inlineStr">
        <is>
          <t>Föryngringsavverkning</t>
        </is>
      </c>
      <c r="D18" s="1" t="n">
        <v>45988</v>
      </c>
      <c r="E18" s="1" t="n">
        <v>46250</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11732-2024</t>
        </is>
      </c>
      <c r="B19" t="inlineStr">
        <is>
          <t>avverkningsanmälan</t>
        </is>
      </c>
      <c r="C19" t="inlineStr">
        <is>
          <t>Föryngringsavverkning</t>
        </is>
      </c>
      <c r="D19" s="1" t="n">
        <v>45373</v>
      </c>
      <c r="E19" s="1" t="n">
        <v>46250</v>
      </c>
      <c r="F19" t="inlineStr">
        <is>
          <t>SKÅNE LÄN</t>
        </is>
      </c>
      <c r="G19" t="inlineStr">
        <is>
          <t>LUND</t>
        </is>
      </c>
      <c r="I19" t="n">
        <v>2.8</v>
      </c>
      <c r="J19" t="n">
        <v>1</v>
      </c>
      <c r="K19" t="n">
        <v>0</v>
      </c>
      <c r="L19" t="n">
        <v>0</v>
      </c>
      <c r="M19" t="n">
        <v>0</v>
      </c>
      <c r="N19" t="n">
        <v>1</v>
      </c>
      <c r="O19" t="n">
        <v>0</v>
      </c>
      <c r="P19" t="n">
        <v>0</v>
      </c>
      <c r="Q19" t="n">
        <v>1</v>
      </c>
      <c r="R19" t="n">
        <v>1</v>
      </c>
      <c r="S19" t="n">
        <v>1</v>
      </c>
      <c r="T19" t="n">
        <v>2</v>
      </c>
      <c r="U19" t="n">
        <v>2</v>
      </c>
      <c r="V19" s="2" t="inlineStr">
        <is>
          <t>Dvärgjohannesört</t>
        </is>
      </c>
      <c r="W19">
        <f>HYPERLINK("https://klasma.github.io/Logging_1281/artfynd/A 11732-2024 artfynd.xlsx", "A 11732-2024")</f>
        <v/>
      </c>
      <c r="X19">
        <f>HYPERLINK("https://klasma.github.io/Logging_1281/kartor/A 11732-2024 karta.png", "A 11732-2024")</f>
        <v/>
      </c>
      <c r="Y19">
        <f>HYPERLINK("https://klasma.github.io/Logging_1281/kartor_geotiff/A 11732-2024 georefererad karta.tif", "A 11732-2024")</f>
        <v/>
      </c>
      <c r="AA19">
        <f>HYPERLINK("https://klasma.github.io/Logging_1281/klagomål/A 11732-2024 FSC-klagomål.docx", "A 11732-2024")</f>
        <v/>
      </c>
      <c r="AB19">
        <f>HYPERLINK("https://klasma.github.io/Logging_1281/klagomålsmail/A 11732-2024 FSC-klagomål mail.docx", "A 11732-2024")</f>
        <v/>
      </c>
      <c r="AC19">
        <f>HYPERLINK("https://klasma.github.io/Logging_1281/tillsyn/A 11732-2024 tillsynsbegäran.docx", "A 11732-2024")</f>
        <v/>
      </c>
      <c r="AD19">
        <f>HYPERLINK("https://klasma.github.io/Logging_1281/tillsynsmail/A 11732-2024 tillsynsbegäran mail.docx", "A 11732-2024")</f>
        <v/>
      </c>
    </row>
    <row r="20" ht="15" customHeight="1">
      <c r="A20" t="inlineStr">
        <is>
          <t>A 27377-2026</t>
        </is>
      </c>
      <c r="B20" t="inlineStr">
        <is>
          <t>avverkningsanmälan</t>
        </is>
      </c>
      <c r="C20" t="inlineStr">
        <is>
          <t>Föryngringsavverkning</t>
        </is>
      </c>
      <c r="D20" s="1" t="n">
        <v>46189</v>
      </c>
      <c r="E20" s="1" t="n">
        <v>46250</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4746-2025</t>
        </is>
      </c>
      <c r="B21" t="inlineStr">
        <is>
          <t>avverkningsanmälan</t>
        </is>
      </c>
      <c r="C21" t="inlineStr">
        <is>
          <t>Föryngringsavverkning</t>
        </is>
      </c>
      <c r="D21" s="1" t="n">
        <v>45688</v>
      </c>
      <c r="E21" s="1" t="n">
        <v>46250</v>
      </c>
      <c r="F21" t="inlineStr">
        <is>
          <t>SKÅNE LÄN</t>
        </is>
      </c>
      <c r="G21" t="inlineStr">
        <is>
          <t>LUND</t>
        </is>
      </c>
      <c r="I21" t="n">
        <v>1.1</v>
      </c>
      <c r="J21" t="n">
        <v>1</v>
      </c>
      <c r="K21" t="n">
        <v>0</v>
      </c>
      <c r="L21" t="n">
        <v>0</v>
      </c>
      <c r="M21" t="n">
        <v>0</v>
      </c>
      <c r="N21" t="n">
        <v>0</v>
      </c>
      <c r="O21" t="n">
        <v>0</v>
      </c>
      <c r="P21" t="n">
        <v>0</v>
      </c>
      <c r="Q21" t="n">
        <v>0</v>
      </c>
      <c r="R21" t="n">
        <v>0</v>
      </c>
      <c r="S21" t="n">
        <v>1</v>
      </c>
      <c r="T21" t="n">
        <v>1</v>
      </c>
      <c r="U21" t="n">
        <v>0</v>
      </c>
      <c r="V21" s="2" t="inlineStr">
        <is>
          <t>Svartvit flugsnappare</t>
        </is>
      </c>
      <c r="W21">
        <f>HYPERLINK("https://klasma.github.io/Logging_1281/artfynd/A 4746-2025 artfynd.xlsx", "A 4746-2025")</f>
        <v/>
      </c>
      <c r="X21">
        <f>HYPERLINK("https://klasma.github.io/Logging_1281/kartor/A 4746-2025 karta.png", "A 4746-2025")</f>
        <v/>
      </c>
      <c r="Y21">
        <f>HYPERLINK("https://klasma.github.io/Logging_1281/kartor_geotiff/A 4746-2025 georefererad karta.tif", "A 4746-2025")</f>
        <v/>
      </c>
      <c r="AA21">
        <f>HYPERLINK("https://klasma.github.io/Logging_1281/klagomål/A 4746-2025 FSC-klagomål.docx", "A 4746-2025")</f>
        <v/>
      </c>
      <c r="AB21">
        <f>HYPERLINK("https://klasma.github.io/Logging_1281/klagomålsmail/A 4746-2025 FSC-klagomål mail.docx", "A 4746-2025")</f>
        <v/>
      </c>
      <c r="AC21">
        <f>HYPERLINK("https://klasma.github.io/Logging_1281/tillsyn/A 4746-2025 tillsynsbegäran.docx", "A 4746-2025")</f>
        <v/>
      </c>
      <c r="AD21">
        <f>HYPERLINK("https://klasma.github.io/Logging_1281/tillsynsmail/A 4746-2025 tillsynsbegäran mail.docx", "A 4746-2025")</f>
        <v/>
      </c>
    </row>
    <row r="22" ht="15" customHeight="1">
      <c r="A22" t="inlineStr">
        <is>
          <t>S 2231-2022</t>
        </is>
      </c>
      <c r="B22" t="inlineStr">
        <is>
          <t>samrådsanmälan</t>
        </is>
      </c>
      <c r="C22" t="inlineStr">
        <is>
          <t>Åtgärd i nyckelbiotop</t>
        </is>
      </c>
      <c r="D22" s="1" t="n">
        <v>44679</v>
      </c>
      <c r="E22" s="1" t="n">
        <v>46250</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46250</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46250</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46250</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16499-2025</t>
        </is>
      </c>
      <c r="B26" t="inlineStr">
        <is>
          <t>avverkningsanmälan</t>
        </is>
      </c>
      <c r="C26" t="inlineStr">
        <is>
          <t>Föryngringsavverkning</t>
        </is>
      </c>
      <c r="D26" s="1" t="n">
        <v>45751</v>
      </c>
      <c r="E26" s="1" t="n">
        <v>46250</v>
      </c>
      <c r="F26" t="inlineStr">
        <is>
          <t>SKÅNE LÄN</t>
        </is>
      </c>
      <c r="G26" t="inlineStr">
        <is>
          <t>LUND</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46250</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5059-2025</t>
        </is>
      </c>
      <c r="B28" t="inlineStr">
        <is>
          <t>avverkningsanmälan</t>
        </is>
      </c>
      <c r="C28" t="inlineStr">
        <is>
          <t>Föryngringsavverkning</t>
        </is>
      </c>
      <c r="D28" s="1" t="n">
        <v>45691</v>
      </c>
      <c r="E28" s="1" t="n">
        <v>46250</v>
      </c>
      <c r="F28" t="inlineStr">
        <is>
          <t>SKÅNE LÄN</t>
        </is>
      </c>
      <c r="G28" t="inlineStr">
        <is>
          <t>LUND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46250</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46250</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59918-2022</t>
        </is>
      </c>
      <c r="B31" t="inlineStr">
        <is>
          <t>avverkningsanmälan</t>
        </is>
      </c>
      <c r="C31" t="inlineStr">
        <is>
          <t>Föryngringsavverkning</t>
        </is>
      </c>
      <c r="D31" s="1" t="n">
        <v>44909</v>
      </c>
      <c r="E31" s="1" t="n">
        <v>46250</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44646-2023</t>
        </is>
      </c>
      <c r="B32" t="inlineStr">
        <is>
          <t>avverkningsanmälan</t>
        </is>
      </c>
      <c r="C32" t="inlineStr">
        <is>
          <t>Föryngringsavverkning</t>
        </is>
      </c>
      <c r="D32" s="1" t="n">
        <v>45189</v>
      </c>
      <c r="E32" s="1" t="n">
        <v>46250</v>
      </c>
      <c r="F32" t="inlineStr">
        <is>
          <t>SKÅNE LÄN</t>
        </is>
      </c>
      <c r="G32" t="inlineStr">
        <is>
          <t>LUND</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29083-2023</t>
        </is>
      </c>
      <c r="B33" t="inlineStr">
        <is>
          <t>avverkningsanmälan</t>
        </is>
      </c>
      <c r="C33" t="inlineStr">
        <is>
          <t>Föryngringsavverkning</t>
        </is>
      </c>
      <c r="D33" s="1" t="n">
        <v>45105</v>
      </c>
      <c r="E33" s="1" t="n">
        <v>46250</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49297-2023</t>
        </is>
      </c>
      <c r="B34" t="inlineStr">
        <is>
          <t>avverkningsanmälan</t>
        </is>
      </c>
      <c r="C34" t="inlineStr">
        <is>
          <t>Föryngringsavverkning</t>
        </is>
      </c>
      <c r="D34" s="1" t="n">
        <v>45210</v>
      </c>
      <c r="E34" s="1" t="n">
        <v>46250</v>
      </c>
      <c r="F34" t="inlineStr">
        <is>
          <t>SKÅNE LÄN</t>
        </is>
      </c>
      <c r="G34" t="inlineStr">
        <is>
          <t>LUND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17519-2023</t>
        </is>
      </c>
      <c r="B35" t="inlineStr">
        <is>
          <t>avverkningsanmälan</t>
        </is>
      </c>
      <c r="C35" t="inlineStr">
        <is>
          <t>Avverkning för annat ändamål</t>
        </is>
      </c>
      <c r="D35" s="1" t="n">
        <v>45036</v>
      </c>
      <c r="E35" s="1" t="n">
        <v>46250</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20277-2026</t>
        </is>
      </c>
      <c r="B36" t="inlineStr">
        <is>
          <t>avverkningsanmälan</t>
        </is>
      </c>
      <c r="C36" t="inlineStr">
        <is>
          <t>Föryngringsavverkning</t>
        </is>
      </c>
      <c r="D36" s="1" t="n">
        <v>46139</v>
      </c>
      <c r="E36" s="1" t="n">
        <v>46250</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9889-2026</t>
        </is>
      </c>
      <c r="B37" t="inlineStr">
        <is>
          <t>avverkningsanmälan</t>
        </is>
      </c>
      <c r="C37" t="inlineStr">
        <is>
          <t>Föryngringsavverkning</t>
        </is>
      </c>
      <c r="D37" s="1" t="n">
        <v>46073</v>
      </c>
      <c r="E37" s="1" t="n">
        <v>46250</v>
      </c>
      <c r="F37" t="inlineStr">
        <is>
          <t>SKÅNE LÄN</t>
        </is>
      </c>
      <c r="G37" t="inlineStr">
        <is>
          <t>LUND</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21767-2023</t>
        </is>
      </c>
      <c r="B38" t="inlineStr">
        <is>
          <t>avverkningsanmälan</t>
        </is>
      </c>
      <c r="C38" t="inlineStr">
        <is>
          <t>Föryngringsavverkning</t>
        </is>
      </c>
      <c r="D38" s="1" t="n">
        <v>45065</v>
      </c>
      <c r="E38" s="1" t="n">
        <v>46250</v>
      </c>
      <c r="F38" t="inlineStr">
        <is>
          <t>SKÅNE LÄN</t>
        </is>
      </c>
      <c r="G38" t="inlineStr">
        <is>
          <t>LUND</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30506-2026</t>
        </is>
      </c>
      <c r="B39" t="inlineStr">
        <is>
          <t>avverkningsanmälan</t>
        </is>
      </c>
      <c r="C39" t="inlineStr">
        <is>
          <t>Föryngringsavverkning</t>
        </is>
      </c>
      <c r="D39" s="1" t="n">
        <v>46210</v>
      </c>
      <c r="E39" s="1" t="n">
        <v>46250</v>
      </c>
      <c r="F39" t="inlineStr">
        <is>
          <t>SKÅNE LÄN</t>
        </is>
      </c>
      <c r="G39" t="inlineStr">
        <is>
          <t>LUND</t>
        </is>
      </c>
      <c r="H39" t="inlineStr">
        <is>
          <t>Kommuner</t>
        </is>
      </c>
      <c r="I39" t="n">
        <v>6.6</v>
      </c>
      <c r="J39" t="n">
        <v>0</v>
      </c>
      <c r="K39" t="n">
        <v>0</v>
      </c>
      <c r="L39" t="n">
        <v>0</v>
      </c>
      <c r="M39" t="n">
        <v>0</v>
      </c>
      <c r="N39" t="n">
        <v>0</v>
      </c>
      <c r="O39" t="n">
        <v>0</v>
      </c>
      <c r="P39" t="n">
        <v>0</v>
      </c>
      <c r="Q39" t="n">
        <v>0</v>
      </c>
      <c r="R39" t="n">
        <v>0</v>
      </c>
      <c r="S39" t="n">
        <v>0</v>
      </c>
      <c r="T39" t="n">
        <v>0</v>
      </c>
      <c r="U39" t="n">
        <v>0</v>
      </c>
      <c r="V39" s="2" t="inlineStr"/>
    </row>
    <row r="40" ht="15" customHeight="1">
      <c r="A40" t="inlineStr">
        <is>
          <t>A 31773-2023</t>
        </is>
      </c>
      <c r="B40" t="inlineStr">
        <is>
          <t>avverkningsanmälan</t>
        </is>
      </c>
      <c r="C40" t="inlineStr">
        <is>
          <t>Föryngringsavverkning</t>
        </is>
      </c>
      <c r="D40" s="1" t="n">
        <v>45118</v>
      </c>
      <c r="E40" s="1" t="n">
        <v>46250</v>
      </c>
      <c r="F40" t="inlineStr">
        <is>
          <t>SKÅNE LÄN</t>
        </is>
      </c>
      <c r="G40" t="inlineStr">
        <is>
          <t>LUND</t>
        </is>
      </c>
      <c r="H40" t="inlineStr">
        <is>
          <t>Kommuner</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13754-2022</t>
        </is>
      </c>
      <c r="B41" t="inlineStr">
        <is>
          <t>avverkningsanmälan</t>
        </is>
      </c>
      <c r="C41" t="inlineStr">
        <is>
          <t>Föryngringsavverkning</t>
        </is>
      </c>
      <c r="D41" s="1" t="n">
        <v>44649</v>
      </c>
      <c r="E41" s="1" t="n">
        <v>46250</v>
      </c>
      <c r="F41" t="inlineStr">
        <is>
          <t>SKÅNE LÄN</t>
        </is>
      </c>
      <c r="G41" t="inlineStr">
        <is>
          <t>LUND</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46250</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46250</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46250</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2026-08-16T01:44:06Z</dcterms:created>
  <dcterms:modified xmlns:dcterms="http://purl.org/dc/terms/" xmlns:xsi="http://www.w3.org/2001/XMLSchema-instance" xsi:type="dcterms:W3CDTF">2026-08-16T01:44:06Z</dcterms:modified>
</cp:coreProperties>
</file>