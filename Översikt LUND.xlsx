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46174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22776-2024</t>
        </is>
      </c>
      <c r="B5" s="1" t="n">
        <v>45448.47032407407</v>
      </c>
      <c r="C5" s="1" t="n">
        <v>46174</v>
      </c>
      <c r="D5" t="inlineStr">
        <is>
          <t>SKÅNE LÄN</t>
        </is>
      </c>
      <c r="E5" t="inlineStr">
        <is>
          <t>LUND</t>
        </is>
      </c>
      <c r="G5" t="n">
        <v>5.6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Grönvit nattviol</t>
        </is>
      </c>
      <c r="S5">
        <f>HYPERLINK("https://klasma.github.io/Logging_1281/artfynd/A 22776-2024 artfynd.xlsx", "A 22776-2024")</f>
        <v/>
      </c>
      <c r="T5">
        <f>HYPERLINK("https://klasma.github.io/Logging_1281/kartor/A 22776-2024 karta.png", "A 22776-2024")</f>
        <v/>
      </c>
      <c r="V5">
        <f>HYPERLINK("https://klasma.github.io/Logging_1281/klagomål/A 22776-2024 FSC-klagomål.docx", "A 22776-2024")</f>
        <v/>
      </c>
      <c r="W5">
        <f>HYPERLINK("https://klasma.github.io/Logging_1281/klagomålsmail/A 22776-2024 FSC-klagomål mail.docx", "A 22776-2024")</f>
        <v/>
      </c>
      <c r="X5">
        <f>HYPERLINK("https://klasma.github.io/Logging_1281/tillsyn/A 22776-2024 tillsynsbegäran.docx", "A 22776-2024")</f>
        <v/>
      </c>
      <c r="Y5">
        <f>HYPERLINK("https://klasma.github.io/Logging_1281/tillsynsmail/A 22776-2024 tillsynsbegäran mail.docx", "A 22776-2024")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46174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46174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46174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46174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46174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46174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46174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46174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46174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46174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46174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46174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46174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46174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5059-2025</t>
        </is>
      </c>
      <c r="B21" s="1" t="n">
        <v>45691.47211805556</v>
      </c>
      <c r="C21" s="1" t="n">
        <v>46174</v>
      </c>
      <c r="D21" t="inlineStr">
        <is>
          <t>SKÅNE LÄN</t>
        </is>
      </c>
      <c r="E21" t="inlineStr">
        <is>
          <t>LUND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46174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46174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46174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16499-2025</t>
        </is>
      </c>
      <c r="B25" s="1" t="n">
        <v>45751.60246527778</v>
      </c>
      <c r="C25" s="1" t="n">
        <v>46174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46174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46174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46174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46174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46174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46174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46174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31773-2023</t>
        </is>
      </c>
      <c r="B33" s="1" t="n">
        <v>45118</v>
      </c>
      <c r="C33" s="1" t="n">
        <v>46174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15984-2025</t>
        </is>
      </c>
      <c r="B34" s="1" t="n">
        <v>45749</v>
      </c>
      <c r="C34" s="1" t="n">
        <v>46174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46174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46174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29083-2023</t>
        </is>
      </c>
      <c r="B37" s="1" t="n">
        <v>45105</v>
      </c>
      <c r="C37" s="1" t="n">
        <v>46174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49297-2023</t>
        </is>
      </c>
      <c r="B38" s="1" t="n">
        <v>45210</v>
      </c>
      <c r="C38" s="1" t="n">
        <v>46174</v>
      </c>
      <c r="D38" t="inlineStr">
        <is>
          <t>SKÅNE LÄN</t>
        </is>
      </c>
      <c r="E38" t="inlineStr">
        <is>
          <t>LUND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46174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46174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46174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58335-2025</t>
        </is>
      </c>
      <c r="B42" s="1" t="n">
        <v>45985.48332175926</v>
      </c>
      <c r="C42" s="1" t="n">
        <v>46174</v>
      </c>
      <c r="D42" t="inlineStr">
        <is>
          <t>SKÅNE LÄN</t>
        </is>
      </c>
      <c r="E42" t="inlineStr">
        <is>
          <t>LUND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58488-2025</t>
        </is>
      </c>
      <c r="B43" s="1" t="n">
        <v>45985.66210648148</v>
      </c>
      <c r="C43" s="1" t="n">
        <v>46174</v>
      </c>
      <c r="D43" t="inlineStr">
        <is>
          <t>SKÅNE LÄN</t>
        </is>
      </c>
      <c r="E43" t="inlineStr">
        <is>
          <t>LUND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58337-2025</t>
        </is>
      </c>
      <c r="B44" s="1" t="n">
        <v>45985.48895833334</v>
      </c>
      <c r="C44" s="1" t="n">
        <v>46174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46174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20057-2025</t>
        </is>
      </c>
      <c r="B46" s="1" t="n">
        <v>45772</v>
      </c>
      <c r="C46" s="1" t="n">
        <v>46174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29247-2025</t>
        </is>
      </c>
      <c r="B47" s="1" t="n">
        <v>45824</v>
      </c>
      <c r="C47" s="1" t="n">
        <v>46174</v>
      </c>
      <c r="D47" t="inlineStr">
        <is>
          <t>SKÅNE LÄN</t>
        </is>
      </c>
      <c r="E47" t="inlineStr">
        <is>
          <t>LUND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34484-2025</t>
        </is>
      </c>
      <c r="B48" s="1" t="n">
        <v>45847.39517361111</v>
      </c>
      <c r="C48" s="1" t="n">
        <v>46174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9889-2026</t>
        </is>
      </c>
      <c r="B49" s="1" t="n">
        <v>46073.368125</v>
      </c>
      <c r="C49" s="1" t="n">
        <v>46174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20277-2026</t>
        </is>
      </c>
      <c r="B50" s="1" t="n">
        <v>46139.53665509259</v>
      </c>
      <c r="C50" s="1" t="n">
        <v>46174</v>
      </c>
      <c r="D50" t="inlineStr">
        <is>
          <t>SKÅNE LÄN</t>
        </is>
      </c>
      <c r="E50" t="inlineStr">
        <is>
          <t>LUND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20281-2026</t>
        </is>
      </c>
      <c r="B51" s="1" t="n">
        <v>46139.53974537037</v>
      </c>
      <c r="C51" s="1" t="n">
        <v>46174</v>
      </c>
      <c r="D51" t="inlineStr">
        <is>
          <t>SKÅNE LÄN</t>
        </is>
      </c>
      <c r="E51" t="inlineStr">
        <is>
          <t>LUND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2026-06-01T10:51:30Z</dcterms:created>
  <dcterms:modified xmlns:dcterms="http://purl.org/dc/terms/" xmlns:xsi="http://www.w3.org/2001/XMLSchema-instance" xsi:type="dcterms:W3CDTF">2026-06-01T10:51:30Z</dcterms:modified>
</cp:coreProperties>
</file>