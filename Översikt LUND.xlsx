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46262</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46262</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46262</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4816-2025</t>
        </is>
      </c>
      <c r="B5" t="inlineStr">
        <is>
          <t>avverkningsanmälan</t>
        </is>
      </c>
      <c r="C5" t="inlineStr">
        <is>
          <t>Föryngringsavverkning</t>
        </is>
      </c>
      <c r="D5" s="1" t="n">
        <v>45688</v>
      </c>
      <c r="E5" s="1" t="n">
        <v>46262</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46262</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57726-2024</t>
        </is>
      </c>
      <c r="B7" t="inlineStr">
        <is>
          <t>avverkningsanmälan</t>
        </is>
      </c>
      <c r="C7" t="inlineStr">
        <is>
          <t>Föryngringsavverkning</t>
        </is>
      </c>
      <c r="D7" s="1" t="n">
        <v>45630</v>
      </c>
      <c r="E7" s="1" t="n">
        <v>46262</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46262</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46262</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46262</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46262</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46262</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46262</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46262</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46262</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59227-2025</t>
        </is>
      </c>
      <c r="B16" t="inlineStr">
        <is>
          <t>avverkningsanmälan</t>
        </is>
      </c>
      <c r="C16" t="inlineStr">
        <is>
          <t>Föryngringsavverkning</t>
        </is>
      </c>
      <c r="D16" s="1" t="n">
        <v>45988</v>
      </c>
      <c r="E16" s="1" t="n">
        <v>46262</v>
      </c>
      <c r="F16" t="inlineStr">
        <is>
          <t>SKÅNE LÄN</t>
        </is>
      </c>
      <c r="G16" t="inlineStr">
        <is>
          <t>LUND</t>
        </is>
      </c>
      <c r="I16" t="n">
        <v>7.1</v>
      </c>
      <c r="J16" t="n">
        <v>0</v>
      </c>
      <c r="K16" t="n">
        <v>1</v>
      </c>
      <c r="L16" t="n">
        <v>0</v>
      </c>
      <c r="M16" t="n">
        <v>0</v>
      </c>
      <c r="N16" t="n">
        <v>0</v>
      </c>
      <c r="O16" t="n">
        <v>0</v>
      </c>
      <c r="P16" t="n">
        <v>0</v>
      </c>
      <c r="Q16" t="n">
        <v>0</v>
      </c>
      <c r="R16" t="n">
        <v>0</v>
      </c>
      <c r="S16" t="n">
        <v>1</v>
      </c>
      <c r="T16" t="n">
        <v>1</v>
      </c>
      <c r="U16" t="n">
        <v>0</v>
      </c>
      <c r="V16" s="2" t="inlineStr">
        <is>
          <t>Scharlakansskål</t>
        </is>
      </c>
      <c r="W16">
        <f>HYPERLINK("https://klasma.github.io/Logging_1281/artfynd/A 59227-2025 artfynd.xlsx", "A 59227-2025")</f>
        <v/>
      </c>
      <c r="X16">
        <f>HYPERLINK("https://klasma.github.io/Logging_1281/kartor/A 59227-2025 karta.png", "A 59227-2025")</f>
        <v/>
      </c>
      <c r="Y16">
        <f>HYPERLINK("https://klasma.github.io/Logging_1281/kartor_geotiff/A 59227-2025 georefererad karta.tif", "A 59227-2025")</f>
        <v/>
      </c>
      <c r="AA16">
        <f>HYPERLINK("https://klasma.github.io/Logging_1281/klagomål/A 59227-2025 FSC-klagomål.docx", "A 59227-2025")</f>
        <v/>
      </c>
      <c r="AB16">
        <f>HYPERLINK("https://klasma.github.io/Logging_1281/klagomålsmail/A 59227-2025 FSC-klagomål mail.docx", "A 59227-2025")</f>
        <v/>
      </c>
      <c r="AC16">
        <f>HYPERLINK("https://klasma.github.io/Logging_1281/tillsyn/A 59227-2025 tillsynsbegäran.docx", "A 59227-2025")</f>
        <v/>
      </c>
      <c r="AD16">
        <f>HYPERLINK("https://klasma.github.io/Logging_1281/tillsynsmail/A 59227-2025 tillsynsbegäran mail.docx", "A 59227-2025")</f>
        <v/>
      </c>
    </row>
    <row r="17" ht="15" customHeight="1">
      <c r="A17" t="inlineStr">
        <is>
          <t>A 11732-2024</t>
        </is>
      </c>
      <c r="B17" t="inlineStr">
        <is>
          <t>avverkningsanmälan</t>
        </is>
      </c>
      <c r="C17" t="inlineStr">
        <is>
          <t>Föryngringsavverkning</t>
        </is>
      </c>
      <c r="D17" s="1" t="n">
        <v>45373</v>
      </c>
      <c r="E17" s="1" t="n">
        <v>46262</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4746-2025</t>
        </is>
      </c>
      <c r="B18" t="inlineStr">
        <is>
          <t>avverkningsanmälan</t>
        </is>
      </c>
      <c r="C18" t="inlineStr">
        <is>
          <t>Föryngringsavverkning</t>
        </is>
      </c>
      <c r="D18" s="1" t="n">
        <v>45688</v>
      </c>
      <c r="E18" s="1" t="n">
        <v>46262</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29075-2023</t>
        </is>
      </c>
      <c r="B19" t="inlineStr">
        <is>
          <t>avverkningsanmälan</t>
        </is>
      </c>
      <c r="C19" t="inlineStr">
        <is>
          <t>Föryngringsavverkning</t>
        </is>
      </c>
      <c r="D19" s="1" t="n">
        <v>45104</v>
      </c>
      <c r="E19" s="1" t="n">
        <v>46262</v>
      </c>
      <c r="F19" t="inlineStr">
        <is>
          <t>SKÅNE LÄN</t>
        </is>
      </c>
      <c r="G19" t="inlineStr">
        <is>
          <t>LUND</t>
        </is>
      </c>
      <c r="I19" t="n">
        <v>0.7</v>
      </c>
      <c r="J19" t="n">
        <v>0</v>
      </c>
      <c r="K19" t="n">
        <v>0</v>
      </c>
      <c r="L19" t="n">
        <v>1</v>
      </c>
      <c r="M19" t="n">
        <v>0</v>
      </c>
      <c r="N19" t="n">
        <v>0</v>
      </c>
      <c r="O19" t="n">
        <v>0</v>
      </c>
      <c r="P19" t="n">
        <v>0</v>
      </c>
      <c r="Q19" t="n">
        <v>1</v>
      </c>
      <c r="R19" t="n">
        <v>0</v>
      </c>
      <c r="S19" t="n">
        <v>1</v>
      </c>
      <c r="T19" t="n">
        <v>1</v>
      </c>
      <c r="U19" t="n">
        <v>1</v>
      </c>
      <c r="V19" s="2" t="inlineStr">
        <is>
          <t>Bokvårtlav</t>
        </is>
      </c>
      <c r="W19">
        <f>HYPERLINK("https://klasma.github.io/Logging_1281/artfynd/A 29075-2023 artfynd.xlsx", "A 29075-2023")</f>
        <v/>
      </c>
      <c r="X19">
        <f>HYPERLINK("https://klasma.github.io/Logging_1281/kartor/A 29075-2023 karta.png", "A 29075-2023")</f>
        <v/>
      </c>
      <c r="Y19">
        <f>HYPERLINK("https://klasma.github.io/Logging_1281/kartor_geotiff/A 29075-2023 georefererad karta.tif", "A 29075-2023")</f>
        <v/>
      </c>
      <c r="AA19">
        <f>HYPERLINK("https://klasma.github.io/Logging_1281/klagomål/A 29075-2023 FSC-klagomål.docx", "A 29075-2023")</f>
        <v/>
      </c>
      <c r="AB19">
        <f>HYPERLINK("https://klasma.github.io/Logging_1281/klagomålsmail/A 29075-2023 FSC-klagomål mail.docx", "A 29075-2023")</f>
        <v/>
      </c>
      <c r="AC19">
        <f>HYPERLINK("https://klasma.github.io/Logging_1281/tillsyn/A 29075-2023 tillsynsbegäran.docx", "A 29075-2023")</f>
        <v/>
      </c>
      <c r="AD19">
        <f>HYPERLINK("https://klasma.github.io/Logging_1281/tillsynsmail/A 29075-2023 tillsynsbegäran mail.docx", "A 29075-2023")</f>
        <v/>
      </c>
    </row>
    <row r="20" ht="15" customHeight="1">
      <c r="A20" t="inlineStr">
        <is>
          <t>A 55145-2023</t>
        </is>
      </c>
      <c r="B20" t="inlineStr">
        <is>
          <t>avverkningsanmälan</t>
        </is>
      </c>
      <c r="C20" t="inlineStr">
        <is>
          <t>Avverkning för att bevara och utveckla /försöksver</t>
        </is>
      </c>
      <c r="D20" s="1" t="n">
        <v>45237</v>
      </c>
      <c r="E20" s="1" t="n">
        <v>46262</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27377-2026</t>
        </is>
      </c>
      <c r="B21" t="inlineStr">
        <is>
          <t>avverkningsanmälan</t>
        </is>
      </c>
      <c r="C21" t="inlineStr">
        <is>
          <t>Föryngringsavverkning</t>
        </is>
      </c>
      <c r="D21" s="1" t="n">
        <v>46189</v>
      </c>
      <c r="E21" s="1" t="n">
        <v>46262</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46262</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46262</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46262</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58335-2025</t>
        </is>
      </c>
      <c r="B25" t="inlineStr">
        <is>
          <t>avverkningsanmälan</t>
        </is>
      </c>
      <c r="C25" t="inlineStr">
        <is>
          <t>Föryngringsavverkning</t>
        </is>
      </c>
      <c r="D25" s="1" t="n">
        <v>45985</v>
      </c>
      <c r="E25" s="1" t="n">
        <v>46262</v>
      </c>
      <c r="F25" t="inlineStr">
        <is>
          <t>SKÅNE LÄN</t>
        </is>
      </c>
      <c r="G25" t="inlineStr">
        <is>
          <t>LUND</t>
        </is>
      </c>
      <c r="I25" t="n">
        <v>2.5</v>
      </c>
      <c r="J25" t="n">
        <v>0</v>
      </c>
      <c r="K25" t="n">
        <v>0</v>
      </c>
      <c r="L25" t="n">
        <v>0</v>
      </c>
      <c r="M25" t="n">
        <v>0</v>
      </c>
      <c r="N25" t="n">
        <v>0</v>
      </c>
      <c r="O25" t="n">
        <v>0</v>
      </c>
      <c r="P25" t="n">
        <v>0</v>
      </c>
      <c r="Q25" t="n">
        <v>0</v>
      </c>
      <c r="R25" t="n">
        <v>0</v>
      </c>
      <c r="S25" t="n">
        <v>0</v>
      </c>
      <c r="T25" t="n">
        <v>0</v>
      </c>
      <c r="U25" t="n">
        <v>0</v>
      </c>
      <c r="V25" s="2" t="inlineStr"/>
    </row>
    <row r="26" ht="15" customHeight="1">
      <c r="A26" t="inlineStr">
        <is>
          <t>A 58337-2025</t>
        </is>
      </c>
      <c r="B26" t="inlineStr">
        <is>
          <t>avverkningsanmälan</t>
        </is>
      </c>
      <c r="C26" t="inlineStr">
        <is>
          <t>Föryngringsavverkning</t>
        </is>
      </c>
      <c r="D26" s="1" t="n">
        <v>45985</v>
      </c>
      <c r="E26" s="1" t="n">
        <v>46262</v>
      </c>
      <c r="F26" t="inlineStr">
        <is>
          <t>SKÅNE LÄN</t>
        </is>
      </c>
      <c r="G26" t="inlineStr">
        <is>
          <t>LUND</t>
        </is>
      </c>
      <c r="I26" t="n">
        <v>2</v>
      </c>
      <c r="J26" t="n">
        <v>0</v>
      </c>
      <c r="K26" t="n">
        <v>0</v>
      </c>
      <c r="L26" t="n">
        <v>0</v>
      </c>
      <c r="M26" t="n">
        <v>0</v>
      </c>
      <c r="N26" t="n">
        <v>0</v>
      </c>
      <c r="O26" t="n">
        <v>0</v>
      </c>
      <c r="P26" t="n">
        <v>0</v>
      </c>
      <c r="Q26" t="n">
        <v>0</v>
      </c>
      <c r="R26" t="n">
        <v>0</v>
      </c>
      <c r="S26" t="n">
        <v>0</v>
      </c>
      <c r="T26" t="n">
        <v>0</v>
      </c>
      <c r="U26" t="n">
        <v>0</v>
      </c>
      <c r="V26" s="2" t="inlineStr"/>
    </row>
    <row r="27" ht="15" customHeight="1">
      <c r="A27" t="inlineStr">
        <is>
          <t>A 28885-2022</t>
        </is>
      </c>
      <c r="B27" t="inlineStr">
        <is>
          <t>avverkningsanmälan</t>
        </is>
      </c>
      <c r="C27" t="inlineStr">
        <is>
          <t>Föryngringsavverkning</t>
        </is>
      </c>
      <c r="D27" s="1" t="n">
        <v>44749</v>
      </c>
      <c r="E27" s="1" t="n">
        <v>46262</v>
      </c>
      <c r="F27" t="inlineStr">
        <is>
          <t>SKÅNE LÄN</t>
        </is>
      </c>
      <c r="G27" t="inlineStr">
        <is>
          <t>LUND</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32972-2024</t>
        </is>
      </c>
      <c r="B28" t="inlineStr">
        <is>
          <t>avverkningsanmälan</t>
        </is>
      </c>
      <c r="C28" t="inlineStr">
        <is>
          <t>Föryngringsavverkning</t>
        </is>
      </c>
      <c r="D28" s="1" t="n">
        <v>45517</v>
      </c>
      <c r="E28" s="1" t="n">
        <v>46262</v>
      </c>
      <c r="F28" t="inlineStr">
        <is>
          <t>SKÅNE LÄN</t>
        </is>
      </c>
      <c r="G28" t="inlineStr">
        <is>
          <t>LUND</t>
        </is>
      </c>
      <c r="H28" t="inlineStr">
        <is>
          <t>Kommuner</t>
        </is>
      </c>
      <c r="I28" t="n">
        <v>20.7</v>
      </c>
      <c r="J28" t="n">
        <v>0</v>
      </c>
      <c r="K28" t="n">
        <v>0</v>
      </c>
      <c r="L28" t="n">
        <v>0</v>
      </c>
      <c r="M28" t="n">
        <v>0</v>
      </c>
      <c r="N28" t="n">
        <v>0</v>
      </c>
      <c r="O28" t="n">
        <v>0</v>
      </c>
      <c r="P28" t="n">
        <v>0</v>
      </c>
      <c r="Q28" t="n">
        <v>0</v>
      </c>
      <c r="R28" t="n">
        <v>0</v>
      </c>
      <c r="S28" t="n">
        <v>0</v>
      </c>
      <c r="T28" t="n">
        <v>0</v>
      </c>
      <c r="U28" t="n">
        <v>0</v>
      </c>
      <c r="V28" s="2" t="inlineStr"/>
    </row>
    <row r="29" ht="15" customHeight="1">
      <c r="A29" t="inlineStr">
        <is>
          <t>A 45725-2022</t>
        </is>
      </c>
      <c r="B29" t="inlineStr">
        <is>
          <t>avverkningsanmälan</t>
        </is>
      </c>
      <c r="C29" t="inlineStr">
        <is>
          <t>Föryngringsavverkning</t>
        </is>
      </c>
      <c r="D29" s="1" t="n">
        <v>44846</v>
      </c>
      <c r="E29" s="1" t="n">
        <v>46262</v>
      </c>
      <c r="F29" t="inlineStr">
        <is>
          <t>SKÅNE LÄN</t>
        </is>
      </c>
      <c r="G29" t="inlineStr">
        <is>
          <t>LUND</t>
        </is>
      </c>
      <c r="I29" t="n">
        <v>1.2</v>
      </c>
      <c r="J29" t="n">
        <v>0</v>
      </c>
      <c r="K29" t="n">
        <v>0</v>
      </c>
      <c r="L29" t="n">
        <v>0</v>
      </c>
      <c r="M29" t="n">
        <v>0</v>
      </c>
      <c r="N29" t="n">
        <v>0</v>
      </c>
      <c r="O29" t="n">
        <v>0</v>
      </c>
      <c r="P29" t="n">
        <v>0</v>
      </c>
      <c r="Q29" t="n">
        <v>0</v>
      </c>
      <c r="R29" t="n">
        <v>0</v>
      </c>
      <c r="S29" t="n">
        <v>0</v>
      </c>
      <c r="T29" t="n">
        <v>0</v>
      </c>
      <c r="U29" t="n">
        <v>0</v>
      </c>
      <c r="V29" s="2" t="inlineStr"/>
    </row>
    <row r="30" ht="15" customHeight="1">
      <c r="A30" t="inlineStr">
        <is>
          <t>A 9889-2026</t>
        </is>
      </c>
      <c r="B30" t="inlineStr">
        <is>
          <t>avverkningsanmälan</t>
        </is>
      </c>
      <c r="C30" t="inlineStr">
        <is>
          <t>Föryngringsavverkning</t>
        </is>
      </c>
      <c r="D30" s="1" t="n">
        <v>46073</v>
      </c>
      <c r="E30" s="1" t="n">
        <v>46262</v>
      </c>
      <c r="F30" t="inlineStr">
        <is>
          <t>SKÅNE LÄN</t>
        </is>
      </c>
      <c r="G30" t="inlineStr">
        <is>
          <t>LUND</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46262</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46262</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46262</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46262</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46262</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46262</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46262</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46262</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46262</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46262</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46262</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46262</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46262</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46262</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2026-08-28T01:54:15Z</dcterms:created>
  <dcterms:modified xmlns:dcterms="http://purl.org/dc/terms/" xmlns:xsi="http://www.w3.org/2001/XMLSchema-instance" xsi:type="dcterms:W3CDTF">2026-08-28T01:54:15Z</dcterms:modified>
</cp:coreProperties>
</file>