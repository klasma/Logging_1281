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45974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45974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45974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45974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45974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45974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45974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45974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45974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35443-2021</t>
        </is>
      </c>
      <c r="B11" s="1" t="n">
        <v>44385</v>
      </c>
      <c r="C11" s="1" t="n">
        <v>45974</v>
      </c>
      <c r="D11" t="inlineStr">
        <is>
          <t>SKÅNE LÄN</t>
        </is>
      </c>
      <c r="E11" t="inlineStr">
        <is>
          <t>LUND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Klubbfibbla</t>
        </is>
      </c>
      <c r="S11">
        <f>HYPERLINK("https://klasma.github.io/Logging_1281/artfynd/A 35443-2021 artfynd.xlsx", "A 35443-2021")</f>
        <v/>
      </c>
      <c r="T11">
        <f>HYPERLINK("https://klasma.github.io/Logging_1281/kartor/A 35443-2021 karta.png", "A 35443-2021")</f>
        <v/>
      </c>
      <c r="V11">
        <f>HYPERLINK("https://klasma.github.io/Logging_1281/klagomål/A 35443-2021 FSC-klagomål.docx", "A 35443-2021")</f>
        <v/>
      </c>
      <c r="W11">
        <f>HYPERLINK("https://klasma.github.io/Logging_1281/klagomålsmail/A 35443-2021 FSC-klagomål mail.docx", "A 35443-2021")</f>
        <v/>
      </c>
      <c r="X11">
        <f>HYPERLINK("https://klasma.github.io/Logging_1281/tillsyn/A 35443-2021 tillsynsbegäran.docx", "A 35443-2021")</f>
        <v/>
      </c>
      <c r="Y11">
        <f>HYPERLINK("https://klasma.github.io/Logging_1281/tillsynsmail/A 35443-2021 tillsynsbegäran mail.docx", "A 35443-2021")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45974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45974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45974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45974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45974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45974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68005-2021</t>
        </is>
      </c>
      <c r="B18" s="1" t="n">
        <v>44525</v>
      </c>
      <c r="C18" s="1" t="n">
        <v>45974</v>
      </c>
      <c r="D18" t="inlineStr">
        <is>
          <t>SKÅNE LÄN</t>
        </is>
      </c>
      <c r="E18" t="inlineStr">
        <is>
          <t>LUND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45974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59918-2022</t>
        </is>
      </c>
      <c r="B20" s="1" t="n">
        <v>44909</v>
      </c>
      <c r="C20" s="1" t="n">
        <v>45974</v>
      </c>
      <c r="D20" t="inlineStr">
        <is>
          <t>SKÅNE LÄN</t>
        </is>
      </c>
      <c r="E20" t="inlineStr">
        <is>
          <t>LUND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13754-2022</t>
        </is>
      </c>
      <c r="B21" s="1" t="n">
        <v>44649</v>
      </c>
      <c r="C21" s="1" t="n">
        <v>45974</v>
      </c>
      <c r="D21" t="inlineStr">
        <is>
          <t>SKÅNE LÄN</t>
        </is>
      </c>
      <c r="E21" t="inlineStr">
        <is>
          <t>LUND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14058-2025</t>
        </is>
      </c>
      <c r="B22" s="1" t="n">
        <v>45740.40390046296</v>
      </c>
      <c r="C22" s="1" t="n">
        <v>45974</v>
      </c>
      <c r="D22" t="inlineStr">
        <is>
          <t>SKÅNE LÄN</t>
        </is>
      </c>
      <c r="E22" t="inlineStr">
        <is>
          <t>LUND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31773-2023</t>
        </is>
      </c>
      <c r="B23" s="1" t="n">
        <v>45118</v>
      </c>
      <c r="C23" s="1" t="n">
        <v>45974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59733-2023</t>
        </is>
      </c>
      <c r="B24" s="1" t="n">
        <v>45257</v>
      </c>
      <c r="C24" s="1" t="n">
        <v>45974</v>
      </c>
      <c r="D24" t="inlineStr">
        <is>
          <t>SKÅNE LÄN</t>
        </is>
      </c>
      <c r="E24" t="inlineStr">
        <is>
          <t>LUND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28885-2022</t>
        </is>
      </c>
      <c r="B25" s="1" t="n">
        <v>44749</v>
      </c>
      <c r="C25" s="1" t="n">
        <v>45974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55158-2023</t>
        </is>
      </c>
      <c r="B26" s="1" t="n">
        <v>45237</v>
      </c>
      <c r="C26" s="1" t="n">
        <v>45974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45974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45974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45974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15984-2025</t>
        </is>
      </c>
      <c r="B30" s="1" t="n">
        <v>45749</v>
      </c>
      <c r="C30" s="1" t="n">
        <v>45974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29083-2023</t>
        </is>
      </c>
      <c r="B31" s="1" t="n">
        <v>45105</v>
      </c>
      <c r="C31" s="1" t="n">
        <v>45974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49297-2023</t>
        </is>
      </c>
      <c r="B32" s="1" t="n">
        <v>45210</v>
      </c>
      <c r="C32" s="1" t="n">
        <v>45974</v>
      </c>
      <c r="D32" t="inlineStr">
        <is>
          <t>SKÅNE LÄN</t>
        </is>
      </c>
      <c r="E32" t="inlineStr">
        <is>
          <t>LUND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20057-2025</t>
        </is>
      </c>
      <c r="B33" s="1" t="n">
        <v>45772</v>
      </c>
      <c r="C33" s="1" t="n">
        <v>45974</v>
      </c>
      <c r="D33" t="inlineStr">
        <is>
          <t>SKÅNE LÄN</t>
        </is>
      </c>
      <c r="E33" t="inlineStr">
        <is>
          <t>LUND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33985-2021</t>
        </is>
      </c>
      <c r="B34" s="1" t="n">
        <v>44378</v>
      </c>
      <c r="C34" s="1" t="n">
        <v>45974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45974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29247-2025</t>
        </is>
      </c>
      <c r="B36" s="1" t="n">
        <v>45824</v>
      </c>
      <c r="C36" s="1" t="n">
        <v>45974</v>
      </c>
      <c r="D36" t="inlineStr">
        <is>
          <t>SKÅNE LÄN</t>
        </is>
      </c>
      <c r="E36" t="inlineStr">
        <is>
          <t>LUND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6034-2025</t>
        </is>
      </c>
      <c r="B37" s="1" t="n">
        <v>45695.64231481482</v>
      </c>
      <c r="C37" s="1" t="n">
        <v>45974</v>
      </c>
      <c r="D37" t="inlineStr">
        <is>
          <t>SKÅNE LÄN</t>
        </is>
      </c>
      <c r="E37" t="inlineStr">
        <is>
          <t>LUND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45974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44646-2023</t>
        </is>
      </c>
      <c r="B39" s="1" t="n">
        <v>45189</v>
      </c>
      <c r="C39" s="1" t="n">
        <v>45974</v>
      </c>
      <c r="D39" t="inlineStr">
        <is>
          <t>SKÅNE LÄN</t>
        </is>
      </c>
      <c r="E39" t="inlineStr">
        <is>
          <t>LUND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45974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34484-2025</t>
        </is>
      </c>
      <c r="B41" s="1" t="n">
        <v>45847.39517361111</v>
      </c>
      <c r="C41" s="1" t="n">
        <v>45974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2248-2025</t>
        </is>
      </c>
      <c r="B42" s="1" t="n">
        <v>45673.49231481482</v>
      </c>
      <c r="C42" s="1" t="n">
        <v>45974</v>
      </c>
      <c r="D42" t="inlineStr">
        <is>
          <t>SKÅNE LÄN</t>
        </is>
      </c>
      <c r="E42" t="inlineStr">
        <is>
          <t>LUND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45974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16499-2025</t>
        </is>
      </c>
      <c r="B44" s="1" t="n">
        <v>45751.60246527778</v>
      </c>
      <c r="C44" s="1" t="n">
        <v>45974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51536-2025</t>
        </is>
      </c>
      <c r="B45" s="1" t="n">
        <v>45950</v>
      </c>
      <c r="C45" s="1" t="n">
        <v>45974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2025-11-13T10:08:41Z</dcterms:created>
  <dcterms:modified xmlns:dcterms="http://purl.org/dc/terms/" xmlns:xsi="http://www.w3.org/2001/XMLSchema-instance" xsi:type="dcterms:W3CDTF">2025-11-13T10:08:41Z</dcterms:modified>
</cp:coreProperties>
</file>