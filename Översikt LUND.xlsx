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45987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45987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45987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45987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45987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45987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45987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45987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45987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45987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45987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45987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45987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45987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11732-2024</t>
        </is>
      </c>
      <c r="B16" s="1" t="n">
        <v>45373.69222222222</v>
      </c>
      <c r="C16" s="1" t="n">
        <v>45987</v>
      </c>
      <c r="D16" t="inlineStr">
        <is>
          <t>SKÅNE LÄN</t>
        </is>
      </c>
      <c r="E16" t="inlineStr">
        <is>
          <t>LUND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HYPERLINK("https://klasma.github.io/Logging_1281/artfynd/A 11732-2024 artfynd.xlsx", "A 11732-2024")</f>
        <v/>
      </c>
      <c r="T16">
        <f>HYPERLINK("https://klasma.github.io/Logging_1281/kartor/A 11732-2024 karta.png", "A 11732-2024")</f>
        <v/>
      </c>
      <c r="V16">
        <f>HYPERLINK("https://klasma.github.io/Logging_1281/klagomål/A 11732-2024 FSC-klagomål.docx", "A 11732-2024")</f>
        <v/>
      </c>
      <c r="W16">
        <f>HYPERLINK("https://klasma.github.io/Logging_1281/klagomålsmail/A 11732-2024 FSC-klagomål mail.docx", "A 11732-2024")</f>
        <v/>
      </c>
      <c r="X16">
        <f>HYPERLINK("https://klasma.github.io/Logging_1281/tillsyn/A 11732-2024 tillsynsbegäran.docx", "A 11732-2024")</f>
        <v/>
      </c>
      <c r="Y16">
        <f>HYPERLINK("https://klasma.github.io/Logging_1281/tillsynsmail/A 11732-2024 tillsynsbegäran mail.docx", "A 11732-2024")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45987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45987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45987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45725-2022</t>
        </is>
      </c>
      <c r="B20" s="1" t="n">
        <v>44846</v>
      </c>
      <c r="C20" s="1" t="n">
        <v>45987</v>
      </c>
      <c r="D20" t="inlineStr">
        <is>
          <t>SKÅNE LÄN</t>
        </is>
      </c>
      <c r="E20" t="inlineStr">
        <is>
          <t>LUND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33985-2021</t>
        </is>
      </c>
      <c r="B21" s="1" t="n">
        <v>44378</v>
      </c>
      <c r="C21" s="1" t="n">
        <v>45987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45987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20057-2025</t>
        </is>
      </c>
      <c r="B23" s="1" t="n">
        <v>45772</v>
      </c>
      <c r="C23" s="1" t="n">
        <v>45987</v>
      </c>
      <c r="D23" t="inlineStr">
        <is>
          <t>SKÅNE LÄN</t>
        </is>
      </c>
      <c r="E23" t="inlineStr">
        <is>
          <t>LUND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45987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32972-2024</t>
        </is>
      </c>
      <c r="B25" s="1" t="n">
        <v>45517.42064814815</v>
      </c>
      <c r="C25" s="1" t="n">
        <v>45987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20.7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45987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29075-2023</t>
        </is>
      </c>
      <c r="B27" s="1" t="n">
        <v>45104</v>
      </c>
      <c r="C27" s="1" t="n">
        <v>45987</v>
      </c>
      <c r="D27" t="inlineStr">
        <is>
          <t>SKÅNE LÄN</t>
        </is>
      </c>
      <c r="E27" t="inlineStr">
        <is>
          <t>LUND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45987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34484-2025</t>
        </is>
      </c>
      <c r="B29" s="1" t="n">
        <v>45847.39517361111</v>
      </c>
      <c r="C29" s="1" t="n">
        <v>45987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45987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14058-2025</t>
        </is>
      </c>
      <c r="B31" s="1" t="n">
        <v>45740.40390046296</v>
      </c>
      <c r="C31" s="1" t="n">
        <v>45987</v>
      </c>
      <c r="D31" t="inlineStr">
        <is>
          <t>SKÅNE LÄN</t>
        </is>
      </c>
      <c r="E31" t="inlineStr">
        <is>
          <t>LUND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51536-2025</t>
        </is>
      </c>
      <c r="B32" s="1" t="n">
        <v>45950</v>
      </c>
      <c r="C32" s="1" t="n">
        <v>45987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8601-2023</t>
        </is>
      </c>
      <c r="B33" s="1" t="n">
        <v>44977</v>
      </c>
      <c r="C33" s="1" t="n">
        <v>45987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58335-2025</t>
        </is>
      </c>
      <c r="B34" s="1" t="n">
        <v>45985.48332175926</v>
      </c>
      <c r="C34" s="1" t="n">
        <v>45987</v>
      </c>
      <c r="D34" t="inlineStr">
        <is>
          <t>SKÅNE LÄN</t>
        </is>
      </c>
      <c r="E34" t="inlineStr">
        <is>
          <t>LUND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58337-2025</t>
        </is>
      </c>
      <c r="B35" s="1" t="n">
        <v>45985.48895833334</v>
      </c>
      <c r="C35" s="1" t="n">
        <v>45987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58488-2025</t>
        </is>
      </c>
      <c r="B36" s="1" t="n">
        <v>45985.66210648148</v>
      </c>
      <c r="C36" s="1" t="n">
        <v>45987</v>
      </c>
      <c r="D36" t="inlineStr">
        <is>
          <t>SKÅNE LÄN</t>
        </is>
      </c>
      <c r="E36" t="inlineStr">
        <is>
          <t>LUND</t>
        </is>
      </c>
      <c r="G36" t="n">
        <v>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21767-2023</t>
        </is>
      </c>
      <c r="B37" s="1" t="n">
        <v>45065</v>
      </c>
      <c r="C37" s="1" t="n">
        <v>45987</v>
      </c>
      <c r="D37" t="inlineStr">
        <is>
          <t>SKÅNE LÄN</t>
        </is>
      </c>
      <c r="E37" t="inlineStr">
        <is>
          <t>LUND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31773-2023</t>
        </is>
      </c>
      <c r="B38" s="1" t="n">
        <v>45118</v>
      </c>
      <c r="C38" s="1" t="n">
        <v>45987</v>
      </c>
      <c r="D38" t="inlineStr">
        <is>
          <t>SKÅNE LÄN</t>
        </is>
      </c>
      <c r="E38" t="inlineStr">
        <is>
          <t>LUND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13754-2022</t>
        </is>
      </c>
      <c r="B39" s="1" t="n">
        <v>44649</v>
      </c>
      <c r="C39" s="1" t="n">
        <v>45987</v>
      </c>
      <c r="D39" t="inlineStr">
        <is>
          <t>SKÅNE LÄN</t>
        </is>
      </c>
      <c r="E39" t="inlineStr">
        <is>
          <t>LUND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28885-2022</t>
        </is>
      </c>
      <c r="B40" s="1" t="n">
        <v>44749</v>
      </c>
      <c r="C40" s="1" t="n">
        <v>45987</v>
      </c>
      <c r="D40" t="inlineStr">
        <is>
          <t>SKÅNE LÄN</t>
        </is>
      </c>
      <c r="E40" t="inlineStr">
        <is>
          <t>LUND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16499-2025</t>
        </is>
      </c>
      <c r="B41" s="1" t="n">
        <v>45751.60246527778</v>
      </c>
      <c r="C41" s="1" t="n">
        <v>45987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59733-2023</t>
        </is>
      </c>
      <c r="B42" s="1" t="n">
        <v>45257</v>
      </c>
      <c r="C42" s="1" t="n">
        <v>45987</v>
      </c>
      <c r="D42" t="inlineStr">
        <is>
          <t>SKÅNE LÄN</t>
        </is>
      </c>
      <c r="E42" t="inlineStr">
        <is>
          <t>LUND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55158-2023</t>
        </is>
      </c>
      <c r="B43" s="1" t="n">
        <v>45237</v>
      </c>
      <c r="C43" s="1" t="n">
        <v>45987</v>
      </c>
      <c r="D43" t="inlineStr">
        <is>
          <t>SKÅNE LÄN</t>
        </is>
      </c>
      <c r="E43" t="inlineStr">
        <is>
          <t>LUND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44646-2023</t>
        </is>
      </c>
      <c r="B44" s="1" t="n">
        <v>45189</v>
      </c>
      <c r="C44" s="1" t="n">
        <v>45987</v>
      </c>
      <c r="D44" t="inlineStr">
        <is>
          <t>SKÅNE LÄN</t>
        </is>
      </c>
      <c r="E44" t="inlineStr">
        <is>
          <t>LUND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15984-2025</t>
        </is>
      </c>
      <c r="B45" s="1" t="n">
        <v>45749</v>
      </c>
      <c r="C45" s="1" t="n">
        <v>45987</v>
      </c>
      <c r="D45" t="inlineStr">
        <is>
          <t>SKÅNE LÄN</t>
        </is>
      </c>
      <c r="E45" t="inlineStr">
        <is>
          <t>LUND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45987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45987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17519-2023</t>
        </is>
      </c>
      <c r="B48" s="1" t="n">
        <v>45036</v>
      </c>
      <c r="C48" s="1" t="n">
        <v>45987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2025-11-26T10:25:06Z</dcterms:created>
  <dcterms:modified xmlns:dcterms="http://purl.org/dc/terms/" xmlns:xsi="http://www.w3.org/2001/XMLSchema-instance" xsi:type="dcterms:W3CDTF">2025-11-26T10:25:06Z</dcterms:modified>
</cp:coreProperties>
</file>