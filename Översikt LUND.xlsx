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45584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45584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26984-2022</t>
        </is>
      </c>
      <c r="B4" s="1" t="n">
        <v>44740</v>
      </c>
      <c r="C4" s="1" t="n">
        <v>45584</v>
      </c>
      <c r="D4" t="inlineStr">
        <is>
          <t>SKÅNE LÄN</t>
        </is>
      </c>
      <c r="E4" t="inlineStr">
        <is>
          <t>LUND</t>
        </is>
      </c>
      <c r="G4" t="n">
        <v>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26984-2022 artfynd.xlsx", "A 26984-2022")</f>
        <v/>
      </c>
      <c r="T4">
        <f>HYPERLINK("https://klasma.github.io/Logging_1281/kartor/A 26984-2022 karta.png", "A 26984-2022")</f>
        <v/>
      </c>
      <c r="V4">
        <f>HYPERLINK("https://klasma.github.io/Logging_1281/klagomål/A 26984-2022 FSC-klagomål.docx", "A 26984-2022")</f>
        <v/>
      </c>
      <c r="W4">
        <f>HYPERLINK("https://klasma.github.io/Logging_1281/klagomålsmail/A 26984-2022 FSC-klagomål mail.docx", "A 26984-2022")</f>
        <v/>
      </c>
      <c r="X4">
        <f>HYPERLINK("https://klasma.github.io/Logging_1281/tillsyn/A 26984-2022 tillsynsbegäran.docx", "A 26984-2022")</f>
        <v/>
      </c>
      <c r="Y4">
        <f>HYPERLINK("https://klasma.github.io/Logging_1281/tillsynsmail/A 26984-2022 tillsynsbegäran mail.docx", "A 26984-2022")</f>
        <v/>
      </c>
    </row>
    <row r="5" ht="15" customHeight="1">
      <c r="A5" t="inlineStr">
        <is>
          <t>A 29038-2023</t>
        </is>
      </c>
      <c r="B5" s="1" t="n">
        <v>45104</v>
      </c>
      <c r="C5" s="1" t="n">
        <v>45584</v>
      </c>
      <c r="D5" t="inlineStr">
        <is>
          <t>SKÅNE LÄN</t>
        </is>
      </c>
      <c r="E5" t="inlineStr">
        <is>
          <t>LUND</t>
        </is>
      </c>
      <c r="G5" t="n">
        <v>10.1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Revig blodrot
Skogsbräsma</t>
        </is>
      </c>
      <c r="S5">
        <f>HYPERLINK("https://klasma.github.io/Logging_1281/artfynd/A 29038-2023 artfynd.xlsx", "A 29038-2023")</f>
        <v/>
      </c>
      <c r="T5">
        <f>HYPERLINK("https://klasma.github.io/Logging_1281/kartor/A 29038-2023 karta.png", "A 29038-2023")</f>
        <v/>
      </c>
      <c r="V5">
        <f>HYPERLINK("https://klasma.github.io/Logging_1281/klagomål/A 29038-2023 FSC-klagomål.docx", "A 29038-2023")</f>
        <v/>
      </c>
      <c r="W5">
        <f>HYPERLINK("https://klasma.github.io/Logging_1281/klagomålsmail/A 29038-2023 FSC-klagomål mail.docx", "A 29038-2023")</f>
        <v/>
      </c>
      <c r="X5">
        <f>HYPERLINK("https://klasma.github.io/Logging_1281/tillsyn/A 29038-2023 tillsynsbegäran.docx", "A 29038-2023")</f>
        <v/>
      </c>
      <c r="Y5">
        <f>HYPERLINK("https://klasma.github.io/Logging_1281/tillsynsmail/A 29038-2023 tillsynsbegäran mail.docx", "A 29038-2023")</f>
        <v/>
      </c>
    </row>
    <row r="6" ht="15" customHeight="1">
      <c r="A6" t="inlineStr">
        <is>
          <t>A 22776-2024</t>
        </is>
      </c>
      <c r="B6" s="1" t="n">
        <v>45448</v>
      </c>
      <c r="C6" s="1" t="n">
        <v>45584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35443-2021</t>
        </is>
      </c>
      <c r="B7" s="1" t="n">
        <v>44385</v>
      </c>
      <c r="C7" s="1" t="n">
        <v>45584</v>
      </c>
      <c r="D7" t="inlineStr">
        <is>
          <t>SKÅNE LÄN</t>
        </is>
      </c>
      <c r="E7" t="inlineStr">
        <is>
          <t>LUND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Klubbfibbla</t>
        </is>
      </c>
      <c r="S7">
        <f>HYPERLINK("https://klasma.github.io/Logging_1281/artfynd/A 35443-2021 artfynd.xlsx", "A 35443-2021")</f>
        <v/>
      </c>
      <c r="T7">
        <f>HYPERLINK("https://klasma.github.io/Logging_1281/kartor/A 35443-2021 karta.png", "A 35443-2021")</f>
        <v/>
      </c>
      <c r="V7">
        <f>HYPERLINK("https://klasma.github.io/Logging_1281/klagomål/A 35443-2021 FSC-klagomål.docx", "A 35443-2021")</f>
        <v/>
      </c>
      <c r="W7">
        <f>HYPERLINK("https://klasma.github.io/Logging_1281/klagomålsmail/A 35443-2021 FSC-klagomål mail.docx", "A 35443-2021")</f>
        <v/>
      </c>
      <c r="X7">
        <f>HYPERLINK("https://klasma.github.io/Logging_1281/tillsyn/A 35443-2021 tillsynsbegäran.docx", "A 35443-2021")</f>
        <v/>
      </c>
      <c r="Y7">
        <f>HYPERLINK("https://klasma.github.io/Logging_1281/tillsynsmail/A 35443-2021 tillsynsbegäran mail.docx", "A 35443-2021")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45584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72269-2021</t>
        </is>
      </c>
      <c r="B9" s="1" t="n">
        <v>44543</v>
      </c>
      <c r="C9" s="1" t="n">
        <v>45584</v>
      </c>
      <c r="D9" t="inlineStr">
        <is>
          <t>SKÅNE LÄN</t>
        </is>
      </c>
      <c r="E9" t="inlineStr">
        <is>
          <t>LUND</t>
        </is>
      </c>
      <c r="G9" t="n">
        <v>3.2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häxört</t>
        </is>
      </c>
      <c r="S9">
        <f>HYPERLINK("https://klasma.github.io/Logging_1281/artfynd/A 72269-2021 artfynd.xlsx", "A 72269-2021")</f>
        <v/>
      </c>
      <c r="T9">
        <f>HYPERLINK("https://klasma.github.io/Logging_1281/kartor/A 72269-2021 karta.png", "A 72269-2021")</f>
        <v/>
      </c>
      <c r="V9">
        <f>HYPERLINK("https://klasma.github.io/Logging_1281/klagomål/A 72269-2021 FSC-klagomål.docx", "A 72269-2021")</f>
        <v/>
      </c>
      <c r="W9">
        <f>HYPERLINK("https://klasma.github.io/Logging_1281/klagomålsmail/A 72269-2021 FSC-klagomål mail.docx", "A 72269-2021")</f>
        <v/>
      </c>
      <c r="X9">
        <f>HYPERLINK("https://klasma.github.io/Logging_1281/tillsyn/A 72269-2021 tillsynsbegäran.docx", "A 72269-2021")</f>
        <v/>
      </c>
      <c r="Y9">
        <f>HYPERLINK("https://klasma.github.io/Logging_1281/tillsynsmail/A 72269-2021 tillsynsbegäran mail.docx", "A 72269-2021")</f>
        <v/>
      </c>
    </row>
    <row r="10" ht="15" customHeight="1">
      <c r="A10" t="inlineStr">
        <is>
          <t>A 31764-2023</t>
        </is>
      </c>
      <c r="B10" s="1" t="n">
        <v>45118</v>
      </c>
      <c r="C10" s="1" t="n">
        <v>45584</v>
      </c>
      <c r="D10" t="inlineStr">
        <is>
          <t>SKÅNE LÄN</t>
        </is>
      </c>
      <c r="E10" t="inlineStr">
        <is>
          <t>LUND</t>
        </is>
      </c>
      <c r="F10" t="inlineStr">
        <is>
          <t>Kommuner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Skorpdyna</t>
        </is>
      </c>
      <c r="S10">
        <f>HYPERLINK("https://klasma.github.io/Logging_1281/artfynd/A 31764-2023 artfynd.xlsx", "A 31764-2023")</f>
        <v/>
      </c>
      <c r="T10">
        <f>HYPERLINK("https://klasma.github.io/Logging_1281/kartor/A 31764-2023 karta.png", "A 31764-2023")</f>
        <v/>
      </c>
      <c r="V10">
        <f>HYPERLINK("https://klasma.github.io/Logging_1281/klagomål/A 31764-2023 FSC-klagomål.docx", "A 31764-2023")</f>
        <v/>
      </c>
      <c r="W10">
        <f>HYPERLINK("https://klasma.github.io/Logging_1281/klagomålsmail/A 31764-2023 FSC-klagomål mail.docx", "A 31764-2023")</f>
        <v/>
      </c>
      <c r="X10">
        <f>HYPERLINK("https://klasma.github.io/Logging_1281/tillsyn/A 31764-2023 tillsynsbegäran.docx", "A 31764-2023")</f>
        <v/>
      </c>
      <c r="Y10">
        <f>HYPERLINK("https://klasma.github.io/Logging_1281/tillsynsmail/A 31764-2023 tillsynsbegäran mail.docx", "A 31764-2023")</f>
        <v/>
      </c>
    </row>
    <row r="11" ht="15" customHeight="1">
      <c r="A11" t="inlineStr">
        <is>
          <t>A 55145-2023</t>
        </is>
      </c>
      <c r="B11" s="1" t="n">
        <v>45237</v>
      </c>
      <c r="C11" s="1" t="n">
        <v>45584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4.5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HYPERLINK("https://klasma.github.io/Logging_1281/artfynd/A 55145-2023 artfynd.xlsx", "A 55145-2023")</f>
        <v/>
      </c>
      <c r="T11">
        <f>HYPERLINK("https://klasma.github.io/Logging_1281/kartor/A 55145-2023 karta.png", "A 55145-2023")</f>
        <v/>
      </c>
      <c r="V11">
        <f>HYPERLINK("https://klasma.github.io/Logging_1281/klagomål/A 55145-2023 FSC-klagomål.docx", "A 55145-2023")</f>
        <v/>
      </c>
      <c r="W11">
        <f>HYPERLINK("https://klasma.github.io/Logging_1281/klagomålsmail/A 55145-2023 FSC-klagomål mail.docx", "A 55145-2023")</f>
        <v/>
      </c>
      <c r="X11">
        <f>HYPERLINK("https://klasma.github.io/Logging_1281/tillsyn/A 55145-2023 tillsynsbegäran.docx", "A 55145-2023")</f>
        <v/>
      </c>
      <c r="Y11">
        <f>HYPERLINK("https://klasma.github.io/Logging_1281/tillsynsmail/A 55145-2023 tillsynsbegäran mail.docx", "A 55145-2023")</f>
        <v/>
      </c>
    </row>
    <row r="12" ht="15" customHeight="1">
      <c r="A12" t="inlineStr">
        <is>
          <t>A 9758-2024</t>
        </is>
      </c>
      <c r="B12" s="1" t="n">
        <v>45362</v>
      </c>
      <c r="C12" s="1" t="n">
        <v>45584</v>
      </c>
      <c r="D12" t="inlineStr">
        <is>
          <t>SKÅNE LÄN</t>
        </is>
      </c>
      <c r="E12" t="inlineStr">
        <is>
          <t>LUND</t>
        </is>
      </c>
      <c r="G12" t="n">
        <v>12.4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HYPERLINK("https://klasma.github.io/Logging_1281/artfynd/A 9758-2024 artfynd.xlsx", "A 9758-2024")</f>
        <v/>
      </c>
      <c r="T12">
        <f>HYPERLINK("https://klasma.github.io/Logging_1281/kartor/A 9758-2024 karta.png", "A 9758-2024")</f>
        <v/>
      </c>
      <c r="V12">
        <f>HYPERLINK("https://klasma.github.io/Logging_1281/klagomål/A 9758-2024 FSC-klagomål.docx", "A 9758-2024")</f>
        <v/>
      </c>
      <c r="W12">
        <f>HYPERLINK("https://klasma.github.io/Logging_1281/klagomålsmail/A 9758-2024 FSC-klagomål mail.docx", "A 9758-2024")</f>
        <v/>
      </c>
      <c r="X12">
        <f>HYPERLINK("https://klasma.github.io/Logging_1281/tillsyn/A 9758-2024 tillsynsbegäran.docx", "A 9758-2024")</f>
        <v/>
      </c>
      <c r="Y12">
        <f>HYPERLINK("https://klasma.github.io/Logging_1281/tillsynsmail/A 9758-2024 tillsynsbegäran mail.docx", "A 9758-2024")</f>
        <v/>
      </c>
    </row>
    <row r="13" ht="15" customHeight="1">
      <c r="A13" t="inlineStr">
        <is>
          <t>A 11731-2024</t>
        </is>
      </c>
      <c r="B13" s="1" t="n">
        <v>45373</v>
      </c>
      <c r="C13" s="1" t="n">
        <v>45584</v>
      </c>
      <c r="D13" t="inlineStr">
        <is>
          <t>SKÅNE LÄN</t>
        </is>
      </c>
      <c r="E13" t="inlineStr">
        <is>
          <t>LUND</t>
        </is>
      </c>
      <c r="G13" t="n">
        <v>14.5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Skogsbräsma</t>
        </is>
      </c>
      <c r="S13">
        <f>HYPERLINK("https://klasma.github.io/Logging_1281/artfynd/A 11731-2024 artfynd.xlsx", "A 11731-2024")</f>
        <v/>
      </c>
      <c r="T13">
        <f>HYPERLINK("https://klasma.github.io/Logging_1281/kartor/A 11731-2024 karta.png", "A 11731-2024")</f>
        <v/>
      </c>
      <c r="V13">
        <f>HYPERLINK("https://klasma.github.io/Logging_1281/klagomål/A 11731-2024 FSC-klagomål.docx", "A 11731-2024")</f>
        <v/>
      </c>
      <c r="W13">
        <f>HYPERLINK("https://klasma.github.io/Logging_1281/klagomålsmail/A 11731-2024 FSC-klagomål mail.docx", "A 11731-2024")</f>
        <v/>
      </c>
      <c r="X13">
        <f>HYPERLINK("https://klasma.github.io/Logging_1281/tillsyn/A 11731-2024 tillsynsbegäran.docx", "A 11731-2024")</f>
        <v/>
      </c>
      <c r="Y13">
        <f>HYPERLINK("https://klasma.github.io/Logging_1281/tillsynsmail/A 11731-2024 tillsynsbegäran mail.docx", "A 11731-2024")</f>
        <v/>
      </c>
    </row>
    <row r="14" ht="15" customHeight="1">
      <c r="A14" t="inlineStr">
        <is>
          <t>A 25866-2019</t>
        </is>
      </c>
      <c r="B14" s="1" t="n">
        <v>43605</v>
      </c>
      <c r="C14" s="1" t="n">
        <v>45584</v>
      </c>
      <c r="D14" t="inlineStr">
        <is>
          <t>SKÅNE LÄN</t>
        </is>
      </c>
      <c r="E14" t="inlineStr">
        <is>
          <t>LUND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29534-2019</t>
        </is>
      </c>
      <c r="B15" s="1" t="n">
        <v>43630</v>
      </c>
      <c r="C15" s="1" t="n">
        <v>45584</v>
      </c>
      <c r="D15" t="inlineStr">
        <is>
          <t>SKÅNE LÄN</t>
        </is>
      </c>
      <c r="E15" t="inlineStr">
        <is>
          <t>LUND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44783-2019</t>
        </is>
      </c>
      <c r="B16" s="1" t="n">
        <v>43707</v>
      </c>
      <c r="C16" s="1" t="n">
        <v>45584</v>
      </c>
      <c r="D16" t="inlineStr">
        <is>
          <t>SKÅNE LÄN</t>
        </is>
      </c>
      <c r="E16" t="inlineStr">
        <is>
          <t>LUND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45374-2019</t>
        </is>
      </c>
      <c r="B17" s="1" t="n">
        <v>43714</v>
      </c>
      <c r="C17" s="1" t="n">
        <v>45584</v>
      </c>
      <c r="D17" t="inlineStr">
        <is>
          <t>SKÅNE LÄN</t>
        </is>
      </c>
      <c r="E17" t="inlineStr">
        <is>
          <t>LUND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45372-2019</t>
        </is>
      </c>
      <c r="B18" s="1" t="n">
        <v>43714</v>
      </c>
      <c r="C18" s="1" t="n">
        <v>45584</v>
      </c>
      <c r="D18" t="inlineStr">
        <is>
          <t>SKÅNE LÄN</t>
        </is>
      </c>
      <c r="E18" t="inlineStr">
        <is>
          <t>LUND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6005-2020</t>
        </is>
      </c>
      <c r="B19" s="1" t="n">
        <v>43865</v>
      </c>
      <c r="C19" s="1" t="n">
        <v>45584</v>
      </c>
      <c r="D19" t="inlineStr">
        <is>
          <t>SKÅNE LÄN</t>
        </is>
      </c>
      <c r="E19" t="inlineStr">
        <is>
          <t>LUND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38688-2020</t>
        </is>
      </c>
      <c r="B20" s="1" t="n">
        <v>44061</v>
      </c>
      <c r="C20" s="1" t="n">
        <v>45584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48295-2020</t>
        </is>
      </c>
      <c r="B21" s="1" t="n">
        <v>44102</v>
      </c>
      <c r="C21" s="1" t="n">
        <v>45584</v>
      </c>
      <c r="D21" t="inlineStr">
        <is>
          <t>SKÅNE LÄN</t>
        </is>
      </c>
      <c r="E21" t="inlineStr">
        <is>
          <t>LUND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13194-2021</t>
        </is>
      </c>
      <c r="B22" s="1" t="n">
        <v>44272</v>
      </c>
      <c r="C22" s="1" t="n">
        <v>45584</v>
      </c>
      <c r="D22" t="inlineStr">
        <is>
          <t>SKÅNE LÄN</t>
        </is>
      </c>
      <c r="E22" t="inlineStr">
        <is>
          <t>LUND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22411-2021</t>
        </is>
      </c>
      <c r="B23" s="1" t="n">
        <v>44326</v>
      </c>
      <c r="C23" s="1" t="n">
        <v>45584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24358-2021</t>
        </is>
      </c>
      <c r="B24" s="1" t="n">
        <v>44337</v>
      </c>
      <c r="C24" s="1" t="n">
        <v>45584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32893-2021</t>
        </is>
      </c>
      <c r="B25" s="1" t="n">
        <v>44375</v>
      </c>
      <c r="C25" s="1" t="n">
        <v>45584</v>
      </c>
      <c r="D25" t="inlineStr">
        <is>
          <t>SKÅNE LÄN</t>
        </is>
      </c>
      <c r="E25" t="inlineStr">
        <is>
          <t>LUND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33983-2021</t>
        </is>
      </c>
      <c r="B26" s="1" t="n">
        <v>44378</v>
      </c>
      <c r="C26" s="1" t="n">
        <v>45584</v>
      </c>
      <c r="D26" t="inlineStr">
        <is>
          <t>SKÅNE LÄN</t>
        </is>
      </c>
      <c r="E26" t="inlineStr">
        <is>
          <t>LUND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33985-2021</t>
        </is>
      </c>
      <c r="B27" s="1" t="n">
        <v>44378</v>
      </c>
      <c r="C27" s="1" t="n">
        <v>45584</v>
      </c>
      <c r="D27" t="inlineStr">
        <is>
          <t>SKÅNE LÄN</t>
        </is>
      </c>
      <c r="E27" t="inlineStr">
        <is>
          <t>LUND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33984-2021</t>
        </is>
      </c>
      <c r="B28" s="1" t="n">
        <v>44378</v>
      </c>
      <c r="C28" s="1" t="n">
        <v>45584</v>
      </c>
      <c r="D28" t="inlineStr">
        <is>
          <t>SKÅNE LÄN</t>
        </is>
      </c>
      <c r="E28" t="inlineStr">
        <is>
          <t>LUND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56855-2021</t>
        </is>
      </c>
      <c r="B29" s="1" t="n">
        <v>44481</v>
      </c>
      <c r="C29" s="1" t="n">
        <v>45584</v>
      </c>
      <c r="D29" t="inlineStr">
        <is>
          <t>SKÅNE LÄN</t>
        </is>
      </c>
      <c r="E29" t="inlineStr">
        <is>
          <t>LUND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68005-2021</t>
        </is>
      </c>
      <c r="B30" s="1" t="n">
        <v>44525</v>
      </c>
      <c r="C30" s="1" t="n">
        <v>45584</v>
      </c>
      <c r="D30" t="inlineStr">
        <is>
          <t>SKÅNE LÄN</t>
        </is>
      </c>
      <c r="E30" t="inlineStr">
        <is>
          <t>LUND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13754-2022</t>
        </is>
      </c>
      <c r="B31" s="1" t="n">
        <v>44649</v>
      </c>
      <c r="C31" s="1" t="n">
        <v>45584</v>
      </c>
      <c r="D31" t="inlineStr">
        <is>
          <t>SKÅNE LÄN</t>
        </is>
      </c>
      <c r="E31" t="inlineStr">
        <is>
          <t>LUND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18873-2022</t>
        </is>
      </c>
      <c r="B32" s="1" t="n">
        <v>44690</v>
      </c>
      <c r="C32" s="1" t="n">
        <v>45584</v>
      </c>
      <c r="D32" t="inlineStr">
        <is>
          <t>SKÅNE LÄN</t>
        </is>
      </c>
      <c r="E32" t="inlineStr">
        <is>
          <t>LUND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28885-2022</t>
        </is>
      </c>
      <c r="B33" s="1" t="n">
        <v>44749</v>
      </c>
      <c r="C33" s="1" t="n">
        <v>45584</v>
      </c>
      <c r="D33" t="inlineStr">
        <is>
          <t>SKÅNE LÄN</t>
        </is>
      </c>
      <c r="E33" t="inlineStr">
        <is>
          <t>LUND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45725-2022</t>
        </is>
      </c>
      <c r="B34" s="1" t="n">
        <v>44846</v>
      </c>
      <c r="C34" s="1" t="n">
        <v>45584</v>
      </c>
      <c r="D34" t="inlineStr">
        <is>
          <t>SKÅNE LÄN</t>
        </is>
      </c>
      <c r="E34" t="inlineStr">
        <is>
          <t>LUND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45771-2022</t>
        </is>
      </c>
      <c r="B35" s="1" t="n">
        <v>44846</v>
      </c>
      <c r="C35" s="1" t="n">
        <v>45584</v>
      </c>
      <c r="D35" t="inlineStr">
        <is>
          <t>SKÅNE LÄN</t>
        </is>
      </c>
      <c r="E35" t="inlineStr">
        <is>
          <t>LUND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59338-2022</t>
        </is>
      </c>
      <c r="B36" s="1" t="n">
        <v>44904</v>
      </c>
      <c r="C36" s="1" t="n">
        <v>45584</v>
      </c>
      <c r="D36" t="inlineStr">
        <is>
          <t>SKÅNE LÄN</t>
        </is>
      </c>
      <c r="E36" t="inlineStr">
        <is>
          <t>LUND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59918-2022</t>
        </is>
      </c>
      <c r="B37" s="1" t="n">
        <v>44909</v>
      </c>
      <c r="C37" s="1" t="n">
        <v>45584</v>
      </c>
      <c r="D37" t="inlineStr">
        <is>
          <t>SKÅNE LÄN</t>
        </is>
      </c>
      <c r="E37" t="inlineStr">
        <is>
          <t>LUND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8601-2023</t>
        </is>
      </c>
      <c r="B38" s="1" t="n">
        <v>44977</v>
      </c>
      <c r="C38" s="1" t="n">
        <v>45584</v>
      </c>
      <c r="D38" t="inlineStr">
        <is>
          <t>SKÅNE LÄN</t>
        </is>
      </c>
      <c r="E38" t="inlineStr">
        <is>
          <t>LUND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17519-2023</t>
        </is>
      </c>
      <c r="B39" s="1" t="n">
        <v>45036</v>
      </c>
      <c r="C39" s="1" t="n">
        <v>45584</v>
      </c>
      <c r="D39" t="inlineStr">
        <is>
          <t>SKÅNE LÄN</t>
        </is>
      </c>
      <c r="E39" t="inlineStr">
        <is>
          <t>LUND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21767-2023</t>
        </is>
      </c>
      <c r="B40" s="1" t="n">
        <v>45065</v>
      </c>
      <c r="C40" s="1" t="n">
        <v>45584</v>
      </c>
      <c r="D40" t="inlineStr">
        <is>
          <t>SKÅNE LÄN</t>
        </is>
      </c>
      <c r="E40" t="inlineStr">
        <is>
          <t>LUND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27983-2023</t>
        </is>
      </c>
      <c r="B41" s="1" t="n">
        <v>45098</v>
      </c>
      <c r="C41" s="1" t="n">
        <v>45584</v>
      </c>
      <c r="D41" t="inlineStr">
        <is>
          <t>SKÅNE LÄN</t>
        </is>
      </c>
      <c r="E41" t="inlineStr">
        <is>
          <t>LUND</t>
        </is>
      </c>
      <c r="G41" t="n">
        <v>37.6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29036-2023</t>
        </is>
      </c>
      <c r="B42" s="1" t="n">
        <v>45104</v>
      </c>
      <c r="C42" s="1" t="n">
        <v>45584</v>
      </c>
      <c r="D42" t="inlineStr">
        <is>
          <t>SKÅNE LÄN</t>
        </is>
      </c>
      <c r="E42" t="inlineStr">
        <is>
          <t>LUND</t>
        </is>
      </c>
      <c r="G42" t="n">
        <v>10.6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29075-2023</t>
        </is>
      </c>
      <c r="B43" s="1" t="n">
        <v>45104</v>
      </c>
      <c r="C43" s="1" t="n">
        <v>45584</v>
      </c>
      <c r="D43" t="inlineStr">
        <is>
          <t>SKÅNE LÄN</t>
        </is>
      </c>
      <c r="E43" t="inlineStr">
        <is>
          <t>LUND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29074-2023</t>
        </is>
      </c>
      <c r="B44" s="1" t="n">
        <v>45104</v>
      </c>
      <c r="C44" s="1" t="n">
        <v>45584</v>
      </c>
      <c r="D44" t="inlineStr">
        <is>
          <t>SKÅNE LÄN</t>
        </is>
      </c>
      <c r="E44" t="inlineStr">
        <is>
          <t>LUND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29083-2023</t>
        </is>
      </c>
      <c r="B45" s="1" t="n">
        <v>45105</v>
      </c>
      <c r="C45" s="1" t="n">
        <v>45584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31773-2023</t>
        </is>
      </c>
      <c r="B46" s="1" t="n">
        <v>45118</v>
      </c>
      <c r="C46" s="1" t="n">
        <v>45584</v>
      </c>
      <c r="D46" t="inlineStr">
        <is>
          <t>SKÅNE LÄN</t>
        </is>
      </c>
      <c r="E46" t="inlineStr">
        <is>
          <t>LUND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44646-2023</t>
        </is>
      </c>
      <c r="B47" s="1" t="n">
        <v>45189</v>
      </c>
      <c r="C47" s="1" t="n">
        <v>45584</v>
      </c>
      <c r="D47" t="inlineStr">
        <is>
          <t>SKÅNE LÄN</t>
        </is>
      </c>
      <c r="E47" t="inlineStr">
        <is>
          <t>LUND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49297-2023</t>
        </is>
      </c>
      <c r="B48" s="1" t="n">
        <v>45210</v>
      </c>
      <c r="C48" s="1" t="n">
        <v>45584</v>
      </c>
      <c r="D48" t="inlineStr">
        <is>
          <t>SKÅNE LÄN</t>
        </is>
      </c>
      <c r="E48" t="inlineStr">
        <is>
          <t>LUND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55154-2023</t>
        </is>
      </c>
      <c r="B49" s="1" t="n">
        <v>45237</v>
      </c>
      <c r="C49" s="1" t="n">
        <v>45584</v>
      </c>
      <c r="D49" t="inlineStr">
        <is>
          <t>SKÅNE LÄN</t>
        </is>
      </c>
      <c r="E49" t="inlineStr">
        <is>
          <t>LUND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55148-2023</t>
        </is>
      </c>
      <c r="B50" s="1" t="n">
        <v>45237</v>
      </c>
      <c r="C50" s="1" t="n">
        <v>45584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55147-2023</t>
        </is>
      </c>
      <c r="B51" s="1" t="n">
        <v>45237</v>
      </c>
      <c r="C51" s="1" t="n">
        <v>45584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13.5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55152-2023</t>
        </is>
      </c>
      <c r="B52" s="1" t="n">
        <v>45237</v>
      </c>
      <c r="C52" s="1" t="n">
        <v>45584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55158-2023</t>
        </is>
      </c>
      <c r="B53" s="1" t="n">
        <v>45237</v>
      </c>
      <c r="C53" s="1" t="n">
        <v>45584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59733-2023</t>
        </is>
      </c>
      <c r="B54" s="1" t="n">
        <v>45257</v>
      </c>
      <c r="C54" s="1" t="n">
        <v>45584</v>
      </c>
      <c r="D54" t="inlineStr">
        <is>
          <t>SKÅNE LÄN</t>
        </is>
      </c>
      <c r="E54" t="inlineStr">
        <is>
          <t>LUND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678-2024</t>
        </is>
      </c>
      <c r="B55" s="1" t="n">
        <v>45300</v>
      </c>
      <c r="C55" s="1" t="n">
        <v>45584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11016-2024</t>
        </is>
      </c>
      <c r="B56" s="1" t="n">
        <v>45370</v>
      </c>
      <c r="C56" s="1" t="n">
        <v>45584</v>
      </c>
      <c r="D56" t="inlineStr">
        <is>
          <t>SKÅNE LÄN</t>
        </is>
      </c>
      <c r="E56" t="inlineStr">
        <is>
          <t>LUND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11726-2024</t>
        </is>
      </c>
      <c r="B57" s="1" t="n">
        <v>45373</v>
      </c>
      <c r="C57" s="1" t="n">
        <v>45584</v>
      </c>
      <c r="D57" t="inlineStr">
        <is>
          <t>SKÅNE LÄN</t>
        </is>
      </c>
      <c r="E57" t="inlineStr">
        <is>
          <t>LUND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11727-2024</t>
        </is>
      </c>
      <c r="B58" s="1" t="n">
        <v>45373</v>
      </c>
      <c r="C58" s="1" t="n">
        <v>45584</v>
      </c>
      <c r="D58" t="inlineStr">
        <is>
          <t>SKÅNE LÄN</t>
        </is>
      </c>
      <c r="E58" t="inlineStr">
        <is>
          <t>LUND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11732-2024</t>
        </is>
      </c>
      <c r="B59" s="1" t="n">
        <v>45373</v>
      </c>
      <c r="C59" s="1" t="n">
        <v>45584</v>
      </c>
      <c r="D59" t="inlineStr">
        <is>
          <t>SKÅNE LÄN</t>
        </is>
      </c>
      <c r="E59" t="inlineStr">
        <is>
          <t>LUND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16323-2024</t>
        </is>
      </c>
      <c r="B60" s="1" t="n">
        <v>45407</v>
      </c>
      <c r="C60" s="1" t="n">
        <v>45584</v>
      </c>
      <c r="D60" t="inlineStr">
        <is>
          <t>SKÅNE LÄN</t>
        </is>
      </c>
      <c r="E60" t="inlineStr">
        <is>
          <t>LUND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25431-2024</t>
        </is>
      </c>
      <c r="B61" s="1" t="n">
        <v>45463</v>
      </c>
      <c r="C61" s="1" t="n">
        <v>45584</v>
      </c>
      <c r="D61" t="inlineStr">
        <is>
          <t>SKÅNE LÄN</t>
        </is>
      </c>
      <c r="E61" t="inlineStr">
        <is>
          <t>LUND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25421-2024</t>
        </is>
      </c>
      <c r="B62" s="1" t="n">
        <v>45463</v>
      </c>
      <c r="C62" s="1" t="n">
        <v>45584</v>
      </c>
      <c r="D62" t="inlineStr">
        <is>
          <t>SKÅNE LÄN</t>
        </is>
      </c>
      <c r="E62" t="inlineStr">
        <is>
          <t>LUND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32976-2024</t>
        </is>
      </c>
      <c r="B63" s="1" t="n">
        <v>45517</v>
      </c>
      <c r="C63" s="1" t="n">
        <v>45584</v>
      </c>
      <c r="D63" t="inlineStr">
        <is>
          <t>SKÅNE LÄN</t>
        </is>
      </c>
      <c r="E63" t="inlineStr">
        <is>
          <t>LUND</t>
        </is>
      </c>
      <c r="F63" t="inlineStr">
        <is>
          <t>Kommuner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32972-2024</t>
        </is>
      </c>
      <c r="B64" s="1" t="n">
        <v>45517</v>
      </c>
      <c r="C64" s="1" t="n">
        <v>45584</v>
      </c>
      <c r="D64" t="inlineStr">
        <is>
          <t>SKÅNE LÄN</t>
        </is>
      </c>
      <c r="E64" t="inlineStr">
        <is>
          <t>LUND</t>
        </is>
      </c>
      <c r="F64" t="inlineStr">
        <is>
          <t>Kommuner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>
      <c r="A65" t="inlineStr">
        <is>
          <t>A 43512-2024</t>
        </is>
      </c>
      <c r="B65" s="1" t="n">
        <v>45569</v>
      </c>
      <c r="C65" s="1" t="n">
        <v>45584</v>
      </c>
      <c r="D65" t="inlineStr">
        <is>
          <t>SKÅNE LÄN</t>
        </is>
      </c>
      <c r="E65" t="inlineStr">
        <is>
          <t>LUND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2024-10-19T12:20:52Z</dcterms:created>
  <dcterms:modified xmlns:dcterms="http://purl.org/dc/terms/" xmlns:xsi="http://www.w3.org/2001/XMLSchema-instance" xsi:type="dcterms:W3CDTF">2024-10-19T12:20:52Z</dcterms:modified>
</cp:coreProperties>
</file>