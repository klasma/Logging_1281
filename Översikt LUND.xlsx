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46227</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46227</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46227</v>
      </c>
      <c r="F4" t="inlineStr">
        <is>
          <t>SKÅNE LÄN</t>
        </is>
      </c>
      <c r="G4" t="inlineStr">
        <is>
          <t>LUND</t>
        </is>
      </c>
      <c r="I4" t="n">
        <v>4.4</v>
      </c>
      <c r="J4" t="n">
        <v>7</v>
      </c>
      <c r="K4" t="n">
        <v>0</v>
      </c>
      <c r="L4" t="n">
        <v>3</v>
      </c>
      <c r="M4" t="n">
        <v>0</v>
      </c>
      <c r="N4" t="n">
        <v>0</v>
      </c>
      <c r="O4" t="n">
        <v>0</v>
      </c>
      <c r="P4" t="n">
        <v>0</v>
      </c>
      <c r="Q4" t="n">
        <v>3</v>
      </c>
      <c r="R4" t="n">
        <v>0</v>
      </c>
      <c r="S4" t="n">
        <v>7</v>
      </c>
      <c r="T4" t="n">
        <v>7</v>
      </c>
      <c r="U4" t="n">
        <v>4</v>
      </c>
      <c r="V4" s="2" t="inlineStr">
        <is>
          <t>Grönsångare
Järnsparv
Talltita
Spillkråka
Gröngöling
Vanlig groda
Vanlig snok</t>
        </is>
      </c>
      <c r="W4">
        <f>HYPERLINK("https://klasma.github.io/Logging_1281/artfynd/A 40999-2021 artfynd.xlsx", "A 40999-2021")</f>
        <v/>
      </c>
      <c r="X4">
        <f>HYPERLINK("https://klasma.github.io/Logging_1281/kartor/A 40999-2021 karta.png", "A 40999-2021")</f>
        <v/>
      </c>
      <c r="Y4">
        <f>HYPERLINK("https://klasma.github.io/Logging_1281/kartor_geotiff/A 40999-2021 georefererad karta.tif", "A 40999-2021")</f>
        <v/>
      </c>
      <c r="AA4">
        <f>HYPERLINK("https://klasma.github.io/Logging_1281/klagomål/A 40999-2021 FSC-klagomål.docx", "A 40999-2021")</f>
        <v/>
      </c>
      <c r="AB4">
        <f>HYPERLINK("https://klasma.github.io/Logging_1281/klagomålsmail/A 40999-2021 FSC-klagomål mail.docx", "A 40999-2021")</f>
        <v/>
      </c>
      <c r="AC4">
        <f>HYPERLINK("https://klasma.github.io/Logging_1281/tillsyn/A 40999-2021 tillsynsbegäran.docx", "A 40999-2021")</f>
        <v/>
      </c>
      <c r="AD4">
        <f>HYPERLINK("https://klasma.github.io/Logging_1281/tillsynsmail/A 40999-2021 tillsynsbegäran mail.docx", "A 40999-2021")</f>
        <v/>
      </c>
      <c r="AE4">
        <f>HYPERLINK("https://klasma.github.io/Logging_1281/fåglar/A 40999-2021 prioriterade fågelarter.docx", "A 40999-2021")</f>
        <v/>
      </c>
    </row>
    <row r="5" ht="15" customHeight="1">
      <c r="A5" t="inlineStr">
        <is>
          <t>A 4816-2025</t>
        </is>
      </c>
      <c r="B5" t="inlineStr">
        <is>
          <t>avverkningsanmälan</t>
        </is>
      </c>
      <c r="C5" t="inlineStr">
        <is>
          <t>Föryngringsavverkning</t>
        </is>
      </c>
      <c r="D5" s="1" t="n">
        <v>45688</v>
      </c>
      <c r="E5" s="1" t="n">
        <v>46227</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46227</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46227</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46227</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46227</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46227</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46227</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46227</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46227</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46227</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39260-2025</t>
        </is>
      </c>
      <c r="B15" t="inlineStr">
        <is>
          <t>avverkningsanmälan</t>
        </is>
      </c>
      <c r="C15" t="inlineStr">
        <is>
          <t>Föryngringsavverkning</t>
        </is>
      </c>
      <c r="D15" s="1" t="n">
        <v>45889</v>
      </c>
      <c r="E15" s="1" t="n">
        <v>46227</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46227</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59227-2025</t>
        </is>
      </c>
      <c r="B17" t="inlineStr">
        <is>
          <t>avverkningsanmälan</t>
        </is>
      </c>
      <c r="C17" t="inlineStr">
        <is>
          <t>Föryngringsavverkning</t>
        </is>
      </c>
      <c r="D17" s="1" t="n">
        <v>45988</v>
      </c>
      <c r="E17" s="1" t="n">
        <v>46227</v>
      </c>
      <c r="F17" t="inlineStr">
        <is>
          <t>SKÅNE LÄN</t>
        </is>
      </c>
      <c r="G17" t="inlineStr">
        <is>
          <t>LUND</t>
        </is>
      </c>
      <c r="I17" t="n">
        <v>7.1</v>
      </c>
      <c r="J17" t="n">
        <v>0</v>
      </c>
      <c r="K17" t="n">
        <v>1</v>
      </c>
      <c r="L17" t="n">
        <v>0</v>
      </c>
      <c r="M17" t="n">
        <v>0</v>
      </c>
      <c r="N17" t="n">
        <v>0</v>
      </c>
      <c r="O17" t="n">
        <v>0</v>
      </c>
      <c r="P17" t="n">
        <v>0</v>
      </c>
      <c r="Q17" t="n">
        <v>0</v>
      </c>
      <c r="R17" t="n">
        <v>0</v>
      </c>
      <c r="S17" t="n">
        <v>1</v>
      </c>
      <c r="T17" t="n">
        <v>1</v>
      </c>
      <c r="U17" t="n">
        <v>0</v>
      </c>
      <c r="V17" s="2" t="inlineStr">
        <is>
          <t>Scharlakansskål</t>
        </is>
      </c>
      <c r="W17">
        <f>HYPERLINK("https://klasma.github.io/Logging_1281/artfynd/A 59227-2025 artfynd.xlsx", "A 59227-2025")</f>
        <v/>
      </c>
      <c r="X17">
        <f>HYPERLINK("https://klasma.github.io/Logging_1281/kartor/A 59227-2025 karta.png", "A 59227-2025")</f>
        <v/>
      </c>
      <c r="Y17">
        <f>HYPERLINK("https://klasma.github.io/Logging_1281/kartor_geotiff/A 59227-2025 georefererad karta.tif", "A 59227-2025")</f>
        <v/>
      </c>
      <c r="AA17">
        <f>HYPERLINK("https://klasma.github.io/Logging_1281/klagomål/A 59227-2025 FSC-klagomål.docx", "A 59227-2025")</f>
        <v/>
      </c>
      <c r="AB17">
        <f>HYPERLINK("https://klasma.github.io/Logging_1281/klagomålsmail/A 59227-2025 FSC-klagomål mail.docx", "A 59227-2025")</f>
        <v/>
      </c>
      <c r="AC17">
        <f>HYPERLINK("https://klasma.github.io/Logging_1281/tillsyn/A 59227-2025 tillsynsbegäran.docx", "A 59227-2025")</f>
        <v/>
      </c>
      <c r="AD17">
        <f>HYPERLINK("https://klasma.github.io/Logging_1281/tillsynsmail/A 59227-2025 tillsynsbegäran mail.docx", "A 59227-2025")</f>
        <v/>
      </c>
    </row>
    <row r="18" ht="15" customHeight="1">
      <c r="A18" t="inlineStr">
        <is>
          <t>A 4746-2025</t>
        </is>
      </c>
      <c r="B18" t="inlineStr">
        <is>
          <t>avverkningsanmälan</t>
        </is>
      </c>
      <c r="C18" t="inlineStr">
        <is>
          <t>Föryngringsavverkning</t>
        </is>
      </c>
      <c r="D18" s="1" t="n">
        <v>45688</v>
      </c>
      <c r="E18" s="1" t="n">
        <v>46227</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55145-2023</t>
        </is>
      </c>
      <c r="B19" t="inlineStr">
        <is>
          <t>avverkningsanmälan</t>
        </is>
      </c>
      <c r="C19" t="inlineStr">
        <is>
          <t>Avverkning för att bevara och utveckla /försöksver</t>
        </is>
      </c>
      <c r="D19" s="1" t="n">
        <v>45237</v>
      </c>
      <c r="E19" s="1" t="n">
        <v>46227</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27377-2026</t>
        </is>
      </c>
      <c r="B20" t="inlineStr">
        <is>
          <t>avverkningsanmälan</t>
        </is>
      </c>
      <c r="C20" t="inlineStr">
        <is>
          <t>Föryngringsavverkning</t>
        </is>
      </c>
      <c r="D20" s="1" t="n">
        <v>46189</v>
      </c>
      <c r="E20" s="1" t="n">
        <v>46227</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55158-2023</t>
        </is>
      </c>
      <c r="B21" t="inlineStr">
        <is>
          <t>avverkningsanmälan</t>
        </is>
      </c>
      <c r="C21" t="inlineStr">
        <is>
          <t>Föryngringsavverkning</t>
        </is>
      </c>
      <c r="D21" s="1" t="n">
        <v>45237</v>
      </c>
      <c r="E21" s="1" t="n">
        <v>46227</v>
      </c>
      <c r="F21" t="inlineStr">
        <is>
          <t>SKÅNE LÄN</t>
        </is>
      </c>
      <c r="G21" t="inlineStr">
        <is>
          <t>LUND</t>
        </is>
      </c>
      <c r="H21" t="inlineStr">
        <is>
          <t>Kommuner</t>
        </is>
      </c>
      <c r="I21" t="n">
        <v>0.7</v>
      </c>
      <c r="J21" t="n">
        <v>0</v>
      </c>
      <c r="K21" t="n">
        <v>0</v>
      </c>
      <c r="L21" t="n">
        <v>1</v>
      </c>
      <c r="M21" t="n">
        <v>0</v>
      </c>
      <c r="N21" t="n">
        <v>0</v>
      </c>
      <c r="O21" t="n">
        <v>0</v>
      </c>
      <c r="P21" t="n">
        <v>0</v>
      </c>
      <c r="Q21" t="n">
        <v>1</v>
      </c>
      <c r="R21" t="n">
        <v>0</v>
      </c>
      <c r="S21" t="n">
        <v>1</v>
      </c>
      <c r="T21" t="n">
        <v>2</v>
      </c>
      <c r="U21" t="n">
        <v>0</v>
      </c>
      <c r="V21" s="2" t="inlineStr">
        <is>
          <t>Backtimjan</t>
        </is>
      </c>
      <c r="W21">
        <f>HYPERLINK("https://klasma.github.io/Logging_1281/artfynd/A 55158-2023 artfynd.xlsx", "A 55158-2023")</f>
        <v/>
      </c>
      <c r="X21">
        <f>HYPERLINK("https://klasma.github.io/Logging_1281/kartor/A 55158-2023 karta.png", "A 55158-2023")</f>
        <v/>
      </c>
      <c r="Y21">
        <f>HYPERLINK("https://klasma.github.io/Logging_1281/kartor_geotiff/A 55158-2023 georefererad karta.tif", "A 55158-2023")</f>
        <v/>
      </c>
      <c r="AA21">
        <f>HYPERLINK("https://klasma.github.io/Logging_1281/klagomål/A 55158-2023 FSC-klagomål.docx", "A 55158-2023")</f>
        <v/>
      </c>
      <c r="AB21">
        <f>HYPERLINK("https://klasma.github.io/Logging_1281/klagomålsmail/A 55158-2023 FSC-klagomål mail.docx", "A 55158-2023")</f>
        <v/>
      </c>
      <c r="AC21">
        <f>HYPERLINK("https://klasma.github.io/Logging_1281/tillsyn/A 55158-2023 tillsynsbegäran.docx", "A 55158-2023")</f>
        <v/>
      </c>
      <c r="AD21">
        <f>HYPERLINK("https://klasma.github.io/Logging_1281/tillsynsmail/A 55158-2023 tillsynsbegäran mail.docx", "A 55158-2023")</f>
        <v/>
      </c>
    </row>
    <row r="22" ht="15" customHeight="1">
      <c r="A22" t="inlineStr">
        <is>
          <t>A 11732-2024</t>
        </is>
      </c>
      <c r="B22" t="inlineStr">
        <is>
          <t>avverkningsanmälan</t>
        </is>
      </c>
      <c r="C22" t="inlineStr">
        <is>
          <t>Föryngringsavverkning</t>
        </is>
      </c>
      <c r="D22" s="1" t="n">
        <v>45373</v>
      </c>
      <c r="E22" s="1" t="n">
        <v>46227</v>
      </c>
      <c r="F22" t="inlineStr">
        <is>
          <t>SKÅNE LÄN</t>
        </is>
      </c>
      <c r="G22" t="inlineStr">
        <is>
          <t>LUND</t>
        </is>
      </c>
      <c r="I22" t="n">
        <v>2.8</v>
      </c>
      <c r="J22" t="n">
        <v>1</v>
      </c>
      <c r="K22" t="n">
        <v>0</v>
      </c>
      <c r="L22" t="n">
        <v>0</v>
      </c>
      <c r="M22" t="n">
        <v>0</v>
      </c>
      <c r="N22" t="n">
        <v>1</v>
      </c>
      <c r="O22" t="n">
        <v>0</v>
      </c>
      <c r="P22" t="n">
        <v>0</v>
      </c>
      <c r="Q22" t="n">
        <v>1</v>
      </c>
      <c r="R22" t="n">
        <v>1</v>
      </c>
      <c r="S22" t="n">
        <v>1</v>
      </c>
      <c r="T22" t="n">
        <v>2</v>
      </c>
      <c r="U22" t="n">
        <v>2</v>
      </c>
      <c r="V22" s="2" t="inlineStr">
        <is>
          <t>Dvärgjohannesört</t>
        </is>
      </c>
      <c r="W22">
        <f>HYPERLINK("https://klasma.github.io/Logging_1281/artfynd/A 11732-2024 artfynd.xlsx", "A 11732-2024")</f>
        <v/>
      </c>
      <c r="X22">
        <f>HYPERLINK("https://klasma.github.io/Logging_1281/kartor/A 11732-2024 karta.png", "A 11732-2024")</f>
        <v/>
      </c>
      <c r="Y22">
        <f>HYPERLINK("https://klasma.github.io/Logging_1281/kartor_geotiff/A 11732-2024 georefererad karta.tif", "A 11732-2024")</f>
        <v/>
      </c>
      <c r="AA22">
        <f>HYPERLINK("https://klasma.github.io/Logging_1281/klagomål/A 11732-2024 FSC-klagomål.docx", "A 11732-2024")</f>
        <v/>
      </c>
      <c r="AB22">
        <f>HYPERLINK("https://klasma.github.io/Logging_1281/klagomålsmail/A 11732-2024 FSC-klagomål mail.docx", "A 11732-2024")</f>
        <v/>
      </c>
      <c r="AC22">
        <f>HYPERLINK("https://klasma.github.io/Logging_1281/tillsyn/A 11732-2024 tillsynsbegäran.docx", "A 11732-2024")</f>
        <v/>
      </c>
      <c r="AD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46227</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46227</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46227</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46227</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46227</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46227</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58488-2025</t>
        </is>
      </c>
      <c r="B29" t="inlineStr">
        <is>
          <t>avverkningsanmälan</t>
        </is>
      </c>
      <c r="C29" t="inlineStr">
        <is>
          <t>Föryngringsavverkning</t>
        </is>
      </c>
      <c r="D29" s="1" t="n">
        <v>45985</v>
      </c>
      <c r="E29" s="1" t="n">
        <v>46227</v>
      </c>
      <c r="F29" t="inlineStr">
        <is>
          <t>SKÅNE LÄN</t>
        </is>
      </c>
      <c r="G29" t="inlineStr">
        <is>
          <t>LUND</t>
        </is>
      </c>
      <c r="I29" t="n">
        <v>9.5</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46227</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46227</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46227</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21767-2023</t>
        </is>
      </c>
      <c r="B33" t="inlineStr">
        <is>
          <t>avverkningsanmälan</t>
        </is>
      </c>
      <c r="C33" t="inlineStr">
        <is>
          <t>Föryngringsavverkning</t>
        </is>
      </c>
      <c r="D33" s="1" t="n">
        <v>45065</v>
      </c>
      <c r="E33" s="1" t="n">
        <v>46227</v>
      </c>
      <c r="F33" t="inlineStr">
        <is>
          <t>SKÅNE LÄN</t>
        </is>
      </c>
      <c r="G33" t="inlineStr">
        <is>
          <t>LUND</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31773-2023</t>
        </is>
      </c>
      <c r="B34" t="inlineStr">
        <is>
          <t>avverkningsanmälan</t>
        </is>
      </c>
      <c r="C34" t="inlineStr">
        <is>
          <t>Föryngringsavverkning</t>
        </is>
      </c>
      <c r="D34" s="1" t="n">
        <v>45118</v>
      </c>
      <c r="E34" s="1" t="n">
        <v>46227</v>
      </c>
      <c r="F34" t="inlineStr">
        <is>
          <t>SKÅNE LÄN</t>
        </is>
      </c>
      <c r="G34" t="inlineStr">
        <is>
          <t>LUND</t>
        </is>
      </c>
      <c r="H34" t="inlineStr">
        <is>
          <t>Kommuner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46227</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20277-2026</t>
        </is>
      </c>
      <c r="B36" t="inlineStr">
        <is>
          <t>avverkningsanmälan</t>
        </is>
      </c>
      <c r="C36" t="inlineStr">
        <is>
          <t>Föryngringsavverkning</t>
        </is>
      </c>
      <c r="D36" s="1" t="n">
        <v>46139</v>
      </c>
      <c r="E36" s="1" t="n">
        <v>46227</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28885-2022</t>
        </is>
      </c>
      <c r="B37" t="inlineStr">
        <is>
          <t>avverkningsanmälan</t>
        </is>
      </c>
      <c r="C37" t="inlineStr">
        <is>
          <t>Föryngringsavverkning</t>
        </is>
      </c>
      <c r="D37" s="1" t="n">
        <v>44749</v>
      </c>
      <c r="E37" s="1" t="n">
        <v>46227</v>
      </c>
      <c r="F37" t="inlineStr">
        <is>
          <t>SKÅNE LÄN</t>
        </is>
      </c>
      <c r="G37" t="inlineStr">
        <is>
          <t>LUND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16499-2025</t>
        </is>
      </c>
      <c r="B38" t="inlineStr">
        <is>
          <t>avverkningsanmälan</t>
        </is>
      </c>
      <c r="C38" t="inlineStr">
        <is>
          <t>Föryngringsavverkning</t>
        </is>
      </c>
      <c r="D38" s="1" t="n">
        <v>45751</v>
      </c>
      <c r="E38" s="1" t="n">
        <v>46227</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30506-2026</t>
        </is>
      </c>
      <c r="B39" t="inlineStr">
        <is>
          <t>avverkningsanmälan</t>
        </is>
      </c>
      <c r="C39" t="inlineStr">
        <is>
          <t>Föryngringsavverkning</t>
        </is>
      </c>
      <c r="D39" s="1" t="n">
        <v>46210</v>
      </c>
      <c r="E39" s="1" t="n">
        <v>46227</v>
      </c>
      <c r="F39" t="inlineStr">
        <is>
          <t>SKÅNE LÄN</t>
        </is>
      </c>
      <c r="G39" t="inlineStr">
        <is>
          <t>LUND</t>
        </is>
      </c>
      <c r="H39" t="inlineStr">
        <is>
          <t>Kommuner</t>
        </is>
      </c>
      <c r="I39" t="n">
        <v>6.6</v>
      </c>
      <c r="J39" t="n">
        <v>0</v>
      </c>
      <c r="K39" t="n">
        <v>0</v>
      </c>
      <c r="L39" t="n">
        <v>0</v>
      </c>
      <c r="M39" t="n">
        <v>0</v>
      </c>
      <c r="N39" t="n">
        <v>0</v>
      </c>
      <c r="O39" t="n">
        <v>0</v>
      </c>
      <c r="P39" t="n">
        <v>0</v>
      </c>
      <c r="Q39" t="n">
        <v>0</v>
      </c>
      <c r="R39" t="n">
        <v>0</v>
      </c>
      <c r="S39" t="n">
        <v>0</v>
      </c>
      <c r="T39" t="n">
        <v>0</v>
      </c>
      <c r="U39" t="n">
        <v>0</v>
      </c>
      <c r="V39" s="2" t="inlineStr"/>
    </row>
    <row r="40" ht="15" customHeight="1">
      <c r="A40" t="inlineStr">
        <is>
          <t>A 44646-2023</t>
        </is>
      </c>
      <c r="B40" t="inlineStr">
        <is>
          <t>avverkningsanmälan</t>
        </is>
      </c>
      <c r="C40" t="inlineStr">
        <is>
          <t>Föryngringsavverkning</t>
        </is>
      </c>
      <c r="D40" s="1" t="n">
        <v>45189</v>
      </c>
      <c r="E40" s="1" t="n">
        <v>46227</v>
      </c>
      <c r="F40" t="inlineStr">
        <is>
          <t>SKÅNE LÄN</t>
        </is>
      </c>
      <c r="G40" t="inlineStr">
        <is>
          <t>LUND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46227</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46227</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17519-2023</t>
        </is>
      </c>
      <c r="B43" t="inlineStr">
        <is>
          <t>avverkningsanmälan</t>
        </is>
      </c>
      <c r="C43" t="inlineStr">
        <is>
          <t>Avverkning för annat ändamål</t>
        </is>
      </c>
      <c r="D43" s="1" t="n">
        <v>45036</v>
      </c>
      <c r="E43" s="1" t="n">
        <v>46227</v>
      </c>
      <c r="F43" t="inlineStr">
        <is>
          <t>SKÅNE LÄN</t>
        </is>
      </c>
      <c r="G43" t="inlineStr">
        <is>
          <t>LUND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46227</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46227</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2026-07-24T01:47:45Z</dcterms:created>
  <dcterms:modified xmlns:dcterms="http://purl.org/dc/terms/" xmlns:xsi="http://www.w3.org/2001/XMLSchema-instance" xsi:type="dcterms:W3CDTF">2026-07-24T01:47:45Z</dcterms:modified>
</cp:coreProperties>
</file>