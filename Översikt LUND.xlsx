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46254</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46254</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46254</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31764-2023</t>
        </is>
      </c>
      <c r="B5" t="inlineStr">
        <is>
          <t>avverkningsanmälan</t>
        </is>
      </c>
      <c r="C5" t="inlineStr">
        <is>
          <t>Föryngringsavverkning</t>
        </is>
      </c>
      <c r="D5" s="1" t="n">
        <v>45118</v>
      </c>
      <c r="E5" s="1" t="n">
        <v>46254</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46254</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46254</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46254</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46254</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46254</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46254</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46254</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46254</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55158-2023</t>
        </is>
      </c>
      <c r="B14" t="inlineStr">
        <is>
          <t>avverkningsanmälan</t>
        </is>
      </c>
      <c r="C14" t="inlineStr">
        <is>
          <t>Föryngringsavverkning</t>
        </is>
      </c>
      <c r="D14" s="1" t="n">
        <v>45237</v>
      </c>
      <c r="E14" s="1" t="n">
        <v>46254</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46254</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29075-2023</t>
        </is>
      </c>
      <c r="B16" t="inlineStr">
        <is>
          <t>avverkningsanmälan</t>
        </is>
      </c>
      <c r="C16" t="inlineStr">
        <is>
          <t>Föryngringsavverkning</t>
        </is>
      </c>
      <c r="D16" s="1" t="n">
        <v>45104</v>
      </c>
      <c r="E16" s="1" t="n">
        <v>46254</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39260-2025</t>
        </is>
      </c>
      <c r="B17" t="inlineStr">
        <is>
          <t>avverkningsanmälan</t>
        </is>
      </c>
      <c r="C17" t="inlineStr">
        <is>
          <t>Föryngringsavverkning</t>
        </is>
      </c>
      <c r="D17" s="1" t="n">
        <v>45889</v>
      </c>
      <c r="E17" s="1" t="n">
        <v>46254</v>
      </c>
      <c r="F17" t="inlineStr">
        <is>
          <t>SKÅNE LÄN</t>
        </is>
      </c>
      <c r="G17" t="inlineStr">
        <is>
          <t>LUND</t>
        </is>
      </c>
      <c r="I17" t="n">
        <v>7.6</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HYPERLINK("https://klasma.github.io/Logging_1281/artfynd/A 39260-2025 artfynd.xlsx", "A 39260-2025")</f>
        <v/>
      </c>
      <c r="X17">
        <f>HYPERLINK("https://klasma.github.io/Logging_1281/kartor/A 39260-2025 karta.png", "A 39260-2025")</f>
        <v/>
      </c>
      <c r="Y17">
        <f>HYPERLINK("https://klasma.github.io/Logging_1281/kartor_geotiff/A 39260-2025 georefererad karta.tif", "A 39260-2025")</f>
        <v/>
      </c>
      <c r="AA17">
        <f>HYPERLINK("https://klasma.github.io/Logging_1281/klagomål/A 39260-2025 FSC-klagomål.docx", "A 39260-2025")</f>
        <v/>
      </c>
      <c r="AB17">
        <f>HYPERLINK("https://klasma.github.io/Logging_1281/klagomålsmail/A 39260-2025 FSC-klagomål mail.docx", "A 39260-2025")</f>
        <v/>
      </c>
      <c r="AC17">
        <f>HYPERLINK("https://klasma.github.io/Logging_1281/tillsyn/A 39260-2025 tillsynsbegäran.docx", "A 39260-2025")</f>
        <v/>
      </c>
      <c r="AD17">
        <f>HYPERLINK("https://klasma.github.io/Logging_1281/tillsynsmail/A 39260-2025 tillsynsbegäran mail.docx", "A 39260-2025")</f>
        <v/>
      </c>
    </row>
    <row r="18" ht="15" customHeight="1">
      <c r="A18" t="inlineStr">
        <is>
          <t>A 27377-2026</t>
        </is>
      </c>
      <c r="B18" t="inlineStr">
        <is>
          <t>avverkningsanmälan</t>
        </is>
      </c>
      <c r="C18" t="inlineStr">
        <is>
          <t>Föryngringsavverkning</t>
        </is>
      </c>
      <c r="D18" s="1" t="n">
        <v>46189</v>
      </c>
      <c r="E18" s="1" t="n">
        <v>46254</v>
      </c>
      <c r="F18" t="inlineStr">
        <is>
          <t>SKÅNE LÄN</t>
        </is>
      </c>
      <c r="G18" t="inlineStr">
        <is>
          <t>LUND</t>
        </is>
      </c>
      <c r="I18" t="n">
        <v>0.7</v>
      </c>
      <c r="J18" t="n">
        <v>1</v>
      </c>
      <c r="K18" t="n">
        <v>0</v>
      </c>
      <c r="L18" t="n">
        <v>0</v>
      </c>
      <c r="M18" t="n">
        <v>0</v>
      </c>
      <c r="N18" t="n">
        <v>0</v>
      </c>
      <c r="O18" t="n">
        <v>0</v>
      </c>
      <c r="P18" t="n">
        <v>0</v>
      </c>
      <c r="Q18" t="n">
        <v>0</v>
      </c>
      <c r="R18" t="n">
        <v>0</v>
      </c>
      <c r="S18" t="n">
        <v>1</v>
      </c>
      <c r="T18" t="n">
        <v>1</v>
      </c>
      <c r="U18" t="n">
        <v>0</v>
      </c>
      <c r="V18" s="2" t="inlineStr">
        <is>
          <t>Ätlig groda</t>
        </is>
      </c>
      <c r="W18">
        <f>HYPERLINK("https://klasma.github.io/Logging_1281/artfynd/A 27377-2026 artfynd.xlsx", "A 27377-2026")</f>
        <v/>
      </c>
      <c r="X18">
        <f>HYPERLINK("https://klasma.github.io/Logging_1281/kartor/A 27377-2026 karta.png", "A 27377-2026")</f>
        <v/>
      </c>
      <c r="Y18">
        <f>HYPERLINK("https://klasma.github.io/Logging_1281/kartor_geotiff/A 27377-2026 georefererad karta.tif", "A 27377-2026")</f>
        <v/>
      </c>
      <c r="AA18">
        <f>HYPERLINK("https://klasma.github.io/Logging_1281/klagomål/A 27377-2026 FSC-klagomål.docx", "A 27377-2026")</f>
        <v/>
      </c>
      <c r="AB18">
        <f>HYPERLINK("https://klasma.github.io/Logging_1281/klagomålsmail/A 27377-2026 FSC-klagomål mail.docx", "A 27377-2026")</f>
        <v/>
      </c>
      <c r="AC18">
        <f>HYPERLINK("https://klasma.github.io/Logging_1281/tillsyn/A 27377-2026 tillsynsbegäran.docx", "A 27377-2026")</f>
        <v/>
      </c>
      <c r="AD18">
        <f>HYPERLINK("https://klasma.github.io/Logging_1281/tillsynsmail/A 27377-2026 tillsynsbegäran mail.docx", "A 27377-2026")</f>
        <v/>
      </c>
    </row>
    <row r="19" ht="15" customHeight="1">
      <c r="A19" t="inlineStr">
        <is>
          <t>A 59227-2025</t>
        </is>
      </c>
      <c r="B19" t="inlineStr">
        <is>
          <t>avverkningsanmälan</t>
        </is>
      </c>
      <c r="C19" t="inlineStr">
        <is>
          <t>Föryngringsavverkning</t>
        </is>
      </c>
      <c r="D19" s="1" t="n">
        <v>45988</v>
      </c>
      <c r="E19" s="1" t="n">
        <v>46254</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55145-2023</t>
        </is>
      </c>
      <c r="B20" t="inlineStr">
        <is>
          <t>avverkningsanmälan</t>
        </is>
      </c>
      <c r="C20" t="inlineStr">
        <is>
          <t>Avverkning för att bevara och utveckla /försöksver</t>
        </is>
      </c>
      <c r="D20" s="1" t="n">
        <v>45237</v>
      </c>
      <c r="E20" s="1" t="n">
        <v>46254</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4746-2025</t>
        </is>
      </c>
      <c r="B21" t="inlineStr">
        <is>
          <t>avverkningsanmälan</t>
        </is>
      </c>
      <c r="C21" t="inlineStr">
        <is>
          <t>Föryngringsavverkning</t>
        </is>
      </c>
      <c r="D21" s="1" t="n">
        <v>45688</v>
      </c>
      <c r="E21" s="1" t="n">
        <v>46254</v>
      </c>
      <c r="F21" t="inlineStr">
        <is>
          <t>SKÅNE LÄN</t>
        </is>
      </c>
      <c r="G21" t="inlineStr">
        <is>
          <t>LUND</t>
        </is>
      </c>
      <c r="I21" t="n">
        <v>1.1</v>
      </c>
      <c r="J21" t="n">
        <v>1</v>
      </c>
      <c r="K21" t="n">
        <v>0</v>
      </c>
      <c r="L21" t="n">
        <v>0</v>
      </c>
      <c r="M21" t="n">
        <v>0</v>
      </c>
      <c r="N21" t="n">
        <v>0</v>
      </c>
      <c r="O21" t="n">
        <v>0</v>
      </c>
      <c r="P21" t="n">
        <v>0</v>
      </c>
      <c r="Q21" t="n">
        <v>0</v>
      </c>
      <c r="R21" t="n">
        <v>0</v>
      </c>
      <c r="S21" t="n">
        <v>1</v>
      </c>
      <c r="T21" t="n">
        <v>1</v>
      </c>
      <c r="U21" t="n">
        <v>0</v>
      </c>
      <c r="V21" s="2" t="inlineStr">
        <is>
          <t>Svartvit flugsnappare</t>
        </is>
      </c>
      <c r="W21">
        <f>HYPERLINK("https://klasma.github.io/Logging_1281/artfynd/A 4746-2025 artfynd.xlsx", "A 4746-2025")</f>
        <v/>
      </c>
      <c r="X21">
        <f>HYPERLINK("https://klasma.github.io/Logging_1281/kartor/A 4746-2025 karta.png", "A 4746-2025")</f>
        <v/>
      </c>
      <c r="Y21">
        <f>HYPERLINK("https://klasma.github.io/Logging_1281/kartor_geotiff/A 4746-2025 georefererad karta.tif", "A 4746-2025")</f>
        <v/>
      </c>
      <c r="AA21">
        <f>HYPERLINK("https://klasma.github.io/Logging_1281/klagomål/A 4746-2025 FSC-klagomål.docx", "A 4746-2025")</f>
        <v/>
      </c>
      <c r="AB21">
        <f>HYPERLINK("https://klasma.github.io/Logging_1281/klagomålsmail/A 4746-2025 FSC-klagomål mail.docx", "A 4746-2025")</f>
        <v/>
      </c>
      <c r="AC21">
        <f>HYPERLINK("https://klasma.github.io/Logging_1281/tillsyn/A 4746-2025 tillsynsbegäran.docx", "A 4746-2025")</f>
        <v/>
      </c>
      <c r="AD21">
        <f>HYPERLINK("https://klasma.github.io/Logging_1281/tillsynsmail/A 4746-2025 tillsynsbegäran mail.docx", "A 4746-2025")</f>
        <v/>
      </c>
    </row>
    <row r="22" ht="15" customHeight="1">
      <c r="A22" t="inlineStr">
        <is>
          <t>S 2231-2022</t>
        </is>
      </c>
      <c r="B22" t="inlineStr">
        <is>
          <t>samrådsanmälan</t>
        </is>
      </c>
      <c r="C22" t="inlineStr">
        <is>
          <t>Åtgärd i nyckelbiotop</t>
        </is>
      </c>
      <c r="D22" s="1" t="n">
        <v>44679</v>
      </c>
      <c r="E22" s="1" t="n">
        <v>46254</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46254</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46254</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46254</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46254</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20277-2026</t>
        </is>
      </c>
      <c r="B27" t="inlineStr">
        <is>
          <t>avverkningsanmälan</t>
        </is>
      </c>
      <c r="C27" t="inlineStr">
        <is>
          <t>Föryngringsavverkning</t>
        </is>
      </c>
      <c r="D27" s="1" t="n">
        <v>46139</v>
      </c>
      <c r="E27" s="1" t="n">
        <v>46254</v>
      </c>
      <c r="F27" t="inlineStr">
        <is>
          <t>SKÅNE LÄN</t>
        </is>
      </c>
      <c r="G27" t="inlineStr">
        <is>
          <t>LUND</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45725-2022</t>
        </is>
      </c>
      <c r="B28" t="inlineStr">
        <is>
          <t>avverkningsanmälan</t>
        </is>
      </c>
      <c r="C28" t="inlineStr">
        <is>
          <t>Föryngringsavverkning</t>
        </is>
      </c>
      <c r="D28" s="1" t="n">
        <v>44846</v>
      </c>
      <c r="E28" s="1" t="n">
        <v>46254</v>
      </c>
      <c r="F28" t="inlineStr">
        <is>
          <t>SKÅNE LÄN</t>
        </is>
      </c>
      <c r="G28" t="inlineStr">
        <is>
          <t>LUND</t>
        </is>
      </c>
      <c r="I28" t="n">
        <v>1.2</v>
      </c>
      <c r="J28" t="n">
        <v>0</v>
      </c>
      <c r="K28" t="n">
        <v>0</v>
      </c>
      <c r="L28" t="n">
        <v>0</v>
      </c>
      <c r="M28" t="n">
        <v>0</v>
      </c>
      <c r="N28" t="n">
        <v>0</v>
      </c>
      <c r="O28" t="n">
        <v>0</v>
      </c>
      <c r="P28" t="n">
        <v>0</v>
      </c>
      <c r="Q28" t="n">
        <v>0</v>
      </c>
      <c r="R28" t="n">
        <v>0</v>
      </c>
      <c r="S28" t="n">
        <v>0</v>
      </c>
      <c r="T28" t="n">
        <v>0</v>
      </c>
      <c r="U28" t="n">
        <v>0</v>
      </c>
      <c r="V28" s="2" t="inlineStr"/>
    </row>
    <row r="29" ht="15" customHeight="1">
      <c r="A29" t="inlineStr">
        <is>
          <t>A 21767-2023</t>
        </is>
      </c>
      <c r="B29" t="inlineStr">
        <is>
          <t>avverkningsanmälan</t>
        </is>
      </c>
      <c r="C29" t="inlineStr">
        <is>
          <t>Föryngringsavverkning</t>
        </is>
      </c>
      <c r="D29" s="1" t="n">
        <v>45065</v>
      </c>
      <c r="E29" s="1" t="n">
        <v>46254</v>
      </c>
      <c r="F29" t="inlineStr">
        <is>
          <t>SKÅNE LÄN</t>
        </is>
      </c>
      <c r="G29" t="inlineStr">
        <is>
          <t>LUND</t>
        </is>
      </c>
      <c r="I29" t="n">
        <v>1.9</v>
      </c>
      <c r="J29" t="n">
        <v>0</v>
      </c>
      <c r="K29" t="n">
        <v>0</v>
      </c>
      <c r="L29" t="n">
        <v>0</v>
      </c>
      <c r="M29" t="n">
        <v>0</v>
      </c>
      <c r="N29" t="n">
        <v>0</v>
      </c>
      <c r="O29" t="n">
        <v>0</v>
      </c>
      <c r="P29" t="n">
        <v>0</v>
      </c>
      <c r="Q29" t="n">
        <v>0</v>
      </c>
      <c r="R29" t="n">
        <v>0</v>
      </c>
      <c r="S29" t="n">
        <v>0</v>
      </c>
      <c r="T29" t="n">
        <v>0</v>
      </c>
      <c r="U29" t="n">
        <v>0</v>
      </c>
      <c r="V29" s="2" t="inlineStr"/>
    </row>
    <row r="30" ht="15" customHeight="1">
      <c r="A30" t="inlineStr">
        <is>
          <t>A 17519-2023</t>
        </is>
      </c>
      <c r="B30" t="inlineStr">
        <is>
          <t>avverkningsanmälan</t>
        </is>
      </c>
      <c r="C30" t="inlineStr">
        <is>
          <t>Avverkning för annat ändamål</t>
        </is>
      </c>
      <c r="D30" s="1" t="n">
        <v>45036</v>
      </c>
      <c r="E30" s="1" t="n">
        <v>46254</v>
      </c>
      <c r="F30" t="inlineStr">
        <is>
          <t>SKÅNE LÄN</t>
        </is>
      </c>
      <c r="G30" t="inlineStr">
        <is>
          <t>LUND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16499-2025</t>
        </is>
      </c>
      <c r="B31" t="inlineStr">
        <is>
          <t>avverkningsanmälan</t>
        </is>
      </c>
      <c r="C31" t="inlineStr">
        <is>
          <t>Föryngringsavverkning</t>
        </is>
      </c>
      <c r="D31" s="1" t="n">
        <v>45751</v>
      </c>
      <c r="E31" s="1" t="n">
        <v>46254</v>
      </c>
      <c r="F31" t="inlineStr">
        <is>
          <t>SKÅNE LÄN</t>
        </is>
      </c>
      <c r="G31" t="inlineStr">
        <is>
          <t>LUND</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33019-2026</t>
        </is>
      </c>
      <c r="B32" t="inlineStr">
        <is>
          <t>avverkningsanmälan</t>
        </is>
      </c>
      <c r="C32" t="inlineStr">
        <is>
          <t>Föryngringsavverkning</t>
        </is>
      </c>
      <c r="D32" s="1" t="n">
        <v>46244</v>
      </c>
      <c r="E32" s="1" t="n">
        <v>46254</v>
      </c>
      <c r="F32" t="inlineStr">
        <is>
          <t>SKÅNE LÄN</t>
        </is>
      </c>
      <c r="G32" t="inlineStr">
        <is>
          <t>LUND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58335-2025</t>
        </is>
      </c>
      <c r="B33" t="inlineStr">
        <is>
          <t>avverkningsanmälan</t>
        </is>
      </c>
      <c r="C33" t="inlineStr">
        <is>
          <t>Föryngringsavverkning</t>
        </is>
      </c>
      <c r="D33" s="1" t="n">
        <v>45985</v>
      </c>
      <c r="E33" s="1" t="n">
        <v>46254</v>
      </c>
      <c r="F33" t="inlineStr">
        <is>
          <t>SKÅNE LÄN</t>
        </is>
      </c>
      <c r="G33" t="inlineStr">
        <is>
          <t>LUND</t>
        </is>
      </c>
      <c r="I33" t="n">
        <v>2.5</v>
      </c>
      <c r="J33" t="n">
        <v>0</v>
      </c>
      <c r="K33" t="n">
        <v>0</v>
      </c>
      <c r="L33" t="n">
        <v>0</v>
      </c>
      <c r="M33" t="n">
        <v>0</v>
      </c>
      <c r="N33" t="n">
        <v>0</v>
      </c>
      <c r="O33" t="n">
        <v>0</v>
      </c>
      <c r="P33" t="n">
        <v>0</v>
      </c>
      <c r="Q33" t="n">
        <v>0</v>
      </c>
      <c r="R33" t="n">
        <v>0</v>
      </c>
      <c r="S33" t="n">
        <v>0</v>
      </c>
      <c r="T33" t="n">
        <v>0</v>
      </c>
      <c r="U33" t="n">
        <v>0</v>
      </c>
      <c r="V33" s="2" t="inlineStr"/>
    </row>
    <row r="34" ht="15" customHeight="1">
      <c r="A34" t="inlineStr">
        <is>
          <t>A 58337-2025</t>
        </is>
      </c>
      <c r="B34" t="inlineStr">
        <is>
          <t>avverkningsanmälan</t>
        </is>
      </c>
      <c r="C34" t="inlineStr">
        <is>
          <t>Föryngringsavverkning</t>
        </is>
      </c>
      <c r="D34" s="1" t="n">
        <v>45985</v>
      </c>
      <c r="E34" s="1" t="n">
        <v>46254</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46254</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46254</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46254</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31773-2023</t>
        </is>
      </c>
      <c r="B38" t="inlineStr">
        <is>
          <t>avverkningsanmälan</t>
        </is>
      </c>
      <c r="C38" t="inlineStr">
        <is>
          <t>Föryngringsavverkning</t>
        </is>
      </c>
      <c r="D38" s="1" t="n">
        <v>45118</v>
      </c>
      <c r="E38" s="1" t="n">
        <v>46254</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46254</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49297-2023</t>
        </is>
      </c>
      <c r="B40" t="inlineStr">
        <is>
          <t>avverkningsanmälan</t>
        </is>
      </c>
      <c r="C40" t="inlineStr">
        <is>
          <t>Föryngringsavverkning</t>
        </is>
      </c>
      <c r="D40" s="1" t="n">
        <v>45210</v>
      </c>
      <c r="E40" s="1" t="n">
        <v>46254</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9889-2026</t>
        </is>
      </c>
      <c r="B41" t="inlineStr">
        <is>
          <t>avverkningsanmälan</t>
        </is>
      </c>
      <c r="C41" t="inlineStr">
        <is>
          <t>Föryngringsavverkning</t>
        </is>
      </c>
      <c r="D41" s="1" t="n">
        <v>46073</v>
      </c>
      <c r="E41" s="1" t="n">
        <v>46254</v>
      </c>
      <c r="F41" t="inlineStr">
        <is>
          <t>SKÅNE LÄN</t>
        </is>
      </c>
      <c r="G41" t="inlineStr">
        <is>
          <t>LUND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46254</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46254</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46254</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2026-08-20T01:47:40Z</dcterms:created>
  <dcterms:modified xmlns:dcterms="http://purl.org/dc/terms/" xmlns:xsi="http://www.w3.org/2001/XMLSchema-instance" xsi:type="dcterms:W3CDTF">2026-08-20T01:47:40Z</dcterms:modified>
</cp:coreProperties>
</file>