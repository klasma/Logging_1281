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46259</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46259</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4816-2025</t>
        </is>
      </c>
      <c r="B4" t="inlineStr">
        <is>
          <t>avverkningsanmälan</t>
        </is>
      </c>
      <c r="C4" t="inlineStr">
        <is>
          <t>Föryngringsavverkning</t>
        </is>
      </c>
      <c r="D4" s="1" t="n">
        <v>45688</v>
      </c>
      <c r="E4" s="1" t="n">
        <v>46259</v>
      </c>
      <c r="F4" t="inlineStr">
        <is>
          <t>SKÅNE LÄN</t>
        </is>
      </c>
      <c r="G4" t="inlineStr">
        <is>
          <t>LUND</t>
        </is>
      </c>
      <c r="I4" t="n">
        <v>7.7</v>
      </c>
      <c r="J4" t="n">
        <v>0</v>
      </c>
      <c r="K4" t="n">
        <v>2</v>
      </c>
      <c r="L4" t="n">
        <v>1</v>
      </c>
      <c r="M4" t="n">
        <v>0</v>
      </c>
      <c r="N4" t="n">
        <v>1</v>
      </c>
      <c r="O4" t="n">
        <v>0</v>
      </c>
      <c r="P4" t="n">
        <v>0</v>
      </c>
      <c r="Q4" t="n">
        <v>2</v>
      </c>
      <c r="R4" t="n">
        <v>1</v>
      </c>
      <c r="S4" t="n">
        <v>4</v>
      </c>
      <c r="T4" t="n">
        <v>7</v>
      </c>
      <c r="U4" t="n">
        <v>3</v>
      </c>
      <c r="V4" s="2" t="inlineStr">
        <is>
          <t>Skogsalm
Sydlig sotticka
Guldlockmossa
Strutbräken</t>
        </is>
      </c>
      <c r="W4">
        <f>HYPERLINK("https://klasma.github.io/Logging_1281/artfynd/A 4816-2025 artfynd.xlsx", "A 4816-2025")</f>
        <v/>
      </c>
      <c r="X4">
        <f>HYPERLINK("https://klasma.github.io/Logging_1281/kartor/A 4816-2025 karta.png", "A 4816-2025")</f>
        <v/>
      </c>
      <c r="Y4">
        <f>HYPERLINK("https://klasma.github.io/Logging_1281/kartor_geotiff/A 4816-2025 georefererad karta.tif", "A 4816-2025")</f>
        <v/>
      </c>
      <c r="AA4">
        <f>HYPERLINK("https://klasma.github.io/Logging_1281/klagomål/A 4816-2025 FSC-klagomål.docx", "A 4816-2025")</f>
        <v/>
      </c>
      <c r="AB4">
        <f>HYPERLINK("https://klasma.github.io/Logging_1281/klagomålsmail/A 4816-2025 FSC-klagomål mail.docx", "A 4816-2025")</f>
        <v/>
      </c>
      <c r="AC4">
        <f>HYPERLINK("https://klasma.github.io/Logging_1281/tillsyn/A 4816-2025 tillsynsbegäran.docx", "A 4816-2025")</f>
        <v/>
      </c>
      <c r="AD4">
        <f>HYPERLINK("https://klasma.github.io/Logging_1281/tillsynsmail/A 4816-2025 tillsynsbegäran mail.docx", "A 4816-2025")</f>
        <v/>
      </c>
    </row>
    <row r="5" ht="15" customHeight="1">
      <c r="A5" t="inlineStr">
        <is>
          <t>A 59733-2023</t>
        </is>
      </c>
      <c r="B5" t="inlineStr">
        <is>
          <t>avverkningsanmälan</t>
        </is>
      </c>
      <c r="C5" t="inlineStr">
        <is>
          <t>Föryngringsavverkning</t>
        </is>
      </c>
      <c r="D5" s="1" t="n">
        <v>45257</v>
      </c>
      <c r="E5" s="1" t="n">
        <v>46259</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46259</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57726-2024</t>
        </is>
      </c>
      <c r="B7" t="inlineStr">
        <is>
          <t>avverkningsanmälan</t>
        </is>
      </c>
      <c r="C7" t="inlineStr">
        <is>
          <t>Föryngringsavverkning</t>
        </is>
      </c>
      <c r="D7" s="1" t="n">
        <v>45630</v>
      </c>
      <c r="E7" s="1" t="n">
        <v>46259</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46259</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46259</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46259</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46259</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46259</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46259</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4746-2025</t>
        </is>
      </c>
      <c r="B14" t="inlineStr">
        <is>
          <t>avverkningsanmälan</t>
        </is>
      </c>
      <c r="C14" t="inlineStr">
        <is>
          <t>Föryngringsavverkning</t>
        </is>
      </c>
      <c r="D14" s="1" t="n">
        <v>45688</v>
      </c>
      <c r="E14" s="1" t="n">
        <v>46259</v>
      </c>
      <c r="F14" t="inlineStr">
        <is>
          <t>SKÅNE LÄN</t>
        </is>
      </c>
      <c r="G14" t="inlineStr">
        <is>
          <t>LUND</t>
        </is>
      </c>
      <c r="I14" t="n">
        <v>1.1</v>
      </c>
      <c r="J14" t="n">
        <v>1</v>
      </c>
      <c r="K14" t="n">
        <v>0</v>
      </c>
      <c r="L14" t="n">
        <v>0</v>
      </c>
      <c r="M14" t="n">
        <v>0</v>
      </c>
      <c r="N14" t="n">
        <v>0</v>
      </c>
      <c r="O14" t="n">
        <v>0</v>
      </c>
      <c r="P14" t="n">
        <v>0</v>
      </c>
      <c r="Q14" t="n">
        <v>0</v>
      </c>
      <c r="R14" t="n">
        <v>0</v>
      </c>
      <c r="S14" t="n">
        <v>1</v>
      </c>
      <c r="T14" t="n">
        <v>1</v>
      </c>
      <c r="U14" t="n">
        <v>0</v>
      </c>
      <c r="V14" s="2" t="inlineStr">
        <is>
          <t>Svartvit flugsnappare</t>
        </is>
      </c>
      <c r="W14">
        <f>HYPERLINK("https://klasma.github.io/Logging_1281/artfynd/A 4746-2025 artfynd.xlsx", "A 4746-2025")</f>
        <v/>
      </c>
      <c r="X14">
        <f>HYPERLINK("https://klasma.github.io/Logging_1281/kartor/A 4746-2025 karta.png", "A 4746-2025")</f>
        <v/>
      </c>
      <c r="Y14">
        <f>HYPERLINK("https://klasma.github.io/Logging_1281/kartor_geotiff/A 4746-2025 georefererad karta.tif", "A 4746-2025")</f>
        <v/>
      </c>
      <c r="AA14">
        <f>HYPERLINK("https://klasma.github.io/Logging_1281/klagomål/A 4746-2025 FSC-klagomål.docx", "A 4746-2025")</f>
        <v/>
      </c>
      <c r="AB14">
        <f>HYPERLINK("https://klasma.github.io/Logging_1281/klagomålsmail/A 4746-2025 FSC-klagomål mail.docx", "A 4746-2025")</f>
        <v/>
      </c>
      <c r="AC14">
        <f>HYPERLINK("https://klasma.github.io/Logging_1281/tillsyn/A 4746-2025 tillsynsbegäran.docx", "A 4746-2025")</f>
        <v/>
      </c>
      <c r="AD14">
        <f>HYPERLINK("https://klasma.github.io/Logging_1281/tillsynsmail/A 4746-2025 tillsynsbegäran mail.docx", "A 4746-2025")</f>
        <v/>
      </c>
    </row>
    <row r="15" ht="15" customHeight="1">
      <c r="A15" t="inlineStr">
        <is>
          <t>A 39260-2025</t>
        </is>
      </c>
      <c r="B15" t="inlineStr">
        <is>
          <t>avverkningsanmälan</t>
        </is>
      </c>
      <c r="C15" t="inlineStr">
        <is>
          <t>Föryngringsavverkning</t>
        </is>
      </c>
      <c r="D15" s="1" t="n">
        <v>45889</v>
      </c>
      <c r="E15" s="1" t="n">
        <v>46259</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29075-2023</t>
        </is>
      </c>
      <c r="B16" t="inlineStr">
        <is>
          <t>avverkningsanmälan</t>
        </is>
      </c>
      <c r="C16" t="inlineStr">
        <is>
          <t>Föryngringsavverkning</t>
        </is>
      </c>
      <c r="D16" s="1" t="n">
        <v>45104</v>
      </c>
      <c r="E16" s="1" t="n">
        <v>46259</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46259</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55158-2023</t>
        </is>
      </c>
      <c r="B18" t="inlineStr">
        <is>
          <t>avverkningsanmälan</t>
        </is>
      </c>
      <c r="C18" t="inlineStr">
        <is>
          <t>Föryngringsavverkning</t>
        </is>
      </c>
      <c r="D18" s="1" t="n">
        <v>45237</v>
      </c>
      <c r="E18" s="1" t="n">
        <v>46259</v>
      </c>
      <c r="F18" t="inlineStr">
        <is>
          <t>SKÅNE LÄN</t>
        </is>
      </c>
      <c r="G18" t="inlineStr">
        <is>
          <t>LUND</t>
        </is>
      </c>
      <c r="H18" t="inlineStr">
        <is>
          <t>Kommuner</t>
        </is>
      </c>
      <c r="I18" t="n">
        <v>0.7</v>
      </c>
      <c r="J18" t="n">
        <v>0</v>
      </c>
      <c r="K18" t="n">
        <v>0</v>
      </c>
      <c r="L18" t="n">
        <v>1</v>
      </c>
      <c r="M18" t="n">
        <v>0</v>
      </c>
      <c r="N18" t="n">
        <v>0</v>
      </c>
      <c r="O18" t="n">
        <v>0</v>
      </c>
      <c r="P18" t="n">
        <v>0</v>
      </c>
      <c r="Q18" t="n">
        <v>1</v>
      </c>
      <c r="R18" t="n">
        <v>0</v>
      </c>
      <c r="S18" t="n">
        <v>1</v>
      </c>
      <c r="T18" t="n">
        <v>2</v>
      </c>
      <c r="U18" t="n">
        <v>0</v>
      </c>
      <c r="V18" s="2" t="inlineStr">
        <is>
          <t>Backtimjan</t>
        </is>
      </c>
      <c r="W18">
        <f>HYPERLINK("https://klasma.github.io/Logging_1281/artfynd/A 55158-2023 artfynd.xlsx", "A 55158-2023")</f>
        <v/>
      </c>
      <c r="X18">
        <f>HYPERLINK("https://klasma.github.io/Logging_1281/kartor/A 55158-2023 karta.png", "A 55158-2023")</f>
        <v/>
      </c>
      <c r="Y18">
        <f>HYPERLINK("https://klasma.github.io/Logging_1281/kartor_geotiff/A 55158-2023 georefererad karta.tif", "A 55158-2023")</f>
        <v/>
      </c>
      <c r="AA18">
        <f>HYPERLINK("https://klasma.github.io/Logging_1281/klagomål/A 55158-2023 FSC-klagomål.docx", "A 55158-2023")</f>
        <v/>
      </c>
      <c r="AB18">
        <f>HYPERLINK("https://klasma.github.io/Logging_1281/klagomålsmail/A 55158-2023 FSC-klagomål mail.docx", "A 55158-2023")</f>
        <v/>
      </c>
      <c r="AC18">
        <f>HYPERLINK("https://klasma.github.io/Logging_1281/tillsyn/A 55158-2023 tillsynsbegäran.docx", "A 55158-2023")</f>
        <v/>
      </c>
      <c r="AD18">
        <f>HYPERLINK("https://klasma.github.io/Logging_1281/tillsynsmail/A 55158-2023 tillsynsbegäran mail.docx", "A 55158-2023")</f>
        <v/>
      </c>
    </row>
    <row r="19" ht="15" customHeight="1">
      <c r="A19" t="inlineStr">
        <is>
          <t>A 27377-2026</t>
        </is>
      </c>
      <c r="B19" t="inlineStr">
        <is>
          <t>avverkningsanmälan</t>
        </is>
      </c>
      <c r="C19" t="inlineStr">
        <is>
          <t>Föryngringsavverkning</t>
        </is>
      </c>
      <c r="D19" s="1" t="n">
        <v>46189</v>
      </c>
      <c r="E19" s="1" t="n">
        <v>46259</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11732-2024</t>
        </is>
      </c>
      <c r="B20" t="inlineStr">
        <is>
          <t>avverkningsanmälan</t>
        </is>
      </c>
      <c r="C20" t="inlineStr">
        <is>
          <t>Föryngringsavverkning</t>
        </is>
      </c>
      <c r="D20" s="1" t="n">
        <v>45373</v>
      </c>
      <c r="E20" s="1" t="n">
        <v>46259</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A 59227-2025</t>
        </is>
      </c>
      <c r="B21" t="inlineStr">
        <is>
          <t>avverkningsanmälan</t>
        </is>
      </c>
      <c r="C21" t="inlineStr">
        <is>
          <t>Föryngringsavverkning</t>
        </is>
      </c>
      <c r="D21" s="1" t="n">
        <v>45988</v>
      </c>
      <c r="E21" s="1" t="n">
        <v>46259</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46259</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46259</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46259</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21767-2023</t>
        </is>
      </c>
      <c r="B25" t="inlineStr">
        <is>
          <t>avverkningsanmälan</t>
        </is>
      </c>
      <c r="C25" t="inlineStr">
        <is>
          <t>Föryngringsavverkning</t>
        </is>
      </c>
      <c r="D25" s="1" t="n">
        <v>45065</v>
      </c>
      <c r="E25" s="1" t="n">
        <v>46259</v>
      </c>
      <c r="F25" t="inlineStr">
        <is>
          <t>SKÅNE LÄN</t>
        </is>
      </c>
      <c r="G25" t="inlineStr">
        <is>
          <t>LUND</t>
        </is>
      </c>
      <c r="I25" t="n">
        <v>1.9</v>
      </c>
      <c r="J25" t="n">
        <v>0</v>
      </c>
      <c r="K25" t="n">
        <v>0</v>
      </c>
      <c r="L25" t="n">
        <v>0</v>
      </c>
      <c r="M25" t="n">
        <v>0</v>
      </c>
      <c r="N25" t="n">
        <v>0</v>
      </c>
      <c r="O25" t="n">
        <v>0</v>
      </c>
      <c r="P25" t="n">
        <v>0</v>
      </c>
      <c r="Q25" t="n">
        <v>0</v>
      </c>
      <c r="R25" t="n">
        <v>0</v>
      </c>
      <c r="S25" t="n">
        <v>0</v>
      </c>
      <c r="T25" t="n">
        <v>0</v>
      </c>
      <c r="U25" t="n">
        <v>0</v>
      </c>
      <c r="V25" s="2" t="inlineStr"/>
    </row>
    <row r="26" ht="15" customHeight="1">
      <c r="A26" t="inlineStr">
        <is>
          <t>A 31773-2023</t>
        </is>
      </c>
      <c r="B26" t="inlineStr">
        <is>
          <t>avverkningsanmälan</t>
        </is>
      </c>
      <c r="C26" t="inlineStr">
        <is>
          <t>Föryngringsavverkning</t>
        </is>
      </c>
      <c r="D26" s="1" t="n">
        <v>45118</v>
      </c>
      <c r="E26" s="1" t="n">
        <v>46259</v>
      </c>
      <c r="F26" t="inlineStr">
        <is>
          <t>SKÅNE LÄN</t>
        </is>
      </c>
      <c r="G26" t="inlineStr">
        <is>
          <t>LUND</t>
        </is>
      </c>
      <c r="H26" t="inlineStr">
        <is>
          <t>Kommuner</t>
        </is>
      </c>
      <c r="I26" t="n">
        <v>0.8</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46259</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13754-2022</t>
        </is>
      </c>
      <c r="B28" t="inlineStr">
        <is>
          <t>avverkningsanmälan</t>
        </is>
      </c>
      <c r="C28" t="inlineStr">
        <is>
          <t>Föryngringsavverkning</t>
        </is>
      </c>
      <c r="D28" s="1" t="n">
        <v>44649</v>
      </c>
      <c r="E28" s="1" t="n">
        <v>46259</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5059-2025</t>
        </is>
      </c>
      <c r="B29" t="inlineStr">
        <is>
          <t>avverkningsanmälan</t>
        </is>
      </c>
      <c r="C29" t="inlineStr">
        <is>
          <t>Föryngringsavverkning</t>
        </is>
      </c>
      <c r="D29" s="1" t="n">
        <v>45691</v>
      </c>
      <c r="E29" s="1" t="n">
        <v>46259</v>
      </c>
      <c r="F29" t="inlineStr">
        <is>
          <t>SKÅNE LÄN</t>
        </is>
      </c>
      <c r="G29" t="inlineStr">
        <is>
          <t>LUND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59918-2022</t>
        </is>
      </c>
      <c r="B30" t="inlineStr">
        <is>
          <t>avverkningsanmälan</t>
        </is>
      </c>
      <c r="C30" t="inlineStr">
        <is>
          <t>Föryngringsavverkning</t>
        </is>
      </c>
      <c r="D30" s="1" t="n">
        <v>44909</v>
      </c>
      <c r="E30" s="1" t="n">
        <v>46259</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28885-2022</t>
        </is>
      </c>
      <c r="B31" t="inlineStr">
        <is>
          <t>avverkningsanmälan</t>
        </is>
      </c>
      <c r="C31" t="inlineStr">
        <is>
          <t>Föryngringsavverkning</t>
        </is>
      </c>
      <c r="D31" s="1" t="n">
        <v>44749</v>
      </c>
      <c r="E31" s="1" t="n">
        <v>46259</v>
      </c>
      <c r="F31" t="inlineStr">
        <is>
          <t>SKÅNE LÄN</t>
        </is>
      </c>
      <c r="G31" t="inlineStr">
        <is>
          <t>LUND</t>
        </is>
      </c>
      <c r="I31" t="n">
        <v>2.4</v>
      </c>
      <c r="J31" t="n">
        <v>0</v>
      </c>
      <c r="K31" t="n">
        <v>0</v>
      </c>
      <c r="L31" t="n">
        <v>0</v>
      </c>
      <c r="M31" t="n">
        <v>0</v>
      </c>
      <c r="N31" t="n">
        <v>0</v>
      </c>
      <c r="O31" t="n">
        <v>0</v>
      </c>
      <c r="P31" t="n">
        <v>0</v>
      </c>
      <c r="Q31" t="n">
        <v>0</v>
      </c>
      <c r="R31" t="n">
        <v>0</v>
      </c>
      <c r="S31" t="n">
        <v>0</v>
      </c>
      <c r="T31" t="n">
        <v>0</v>
      </c>
      <c r="U31" t="n">
        <v>0</v>
      </c>
      <c r="V31" s="2" t="inlineStr"/>
    </row>
    <row r="32" ht="15" customHeight="1">
      <c r="A32" t="inlineStr">
        <is>
          <t>A 16499-2025</t>
        </is>
      </c>
      <c r="B32" t="inlineStr">
        <is>
          <t>avverkningsanmälan</t>
        </is>
      </c>
      <c r="C32" t="inlineStr">
        <is>
          <t>Föryngringsavverkning</t>
        </is>
      </c>
      <c r="D32" s="1" t="n">
        <v>45751</v>
      </c>
      <c r="E32" s="1" t="n">
        <v>46259</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20277-2026</t>
        </is>
      </c>
      <c r="B33" t="inlineStr">
        <is>
          <t>avverkningsanmälan</t>
        </is>
      </c>
      <c r="C33" t="inlineStr">
        <is>
          <t>Föryngringsavverkning</t>
        </is>
      </c>
      <c r="D33" s="1" t="n">
        <v>46139</v>
      </c>
      <c r="E33" s="1" t="n">
        <v>46259</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44646-2023</t>
        </is>
      </c>
      <c r="B34" t="inlineStr">
        <is>
          <t>avverkningsanmälan</t>
        </is>
      </c>
      <c r="C34" t="inlineStr">
        <is>
          <t>Föryngringsavverkning</t>
        </is>
      </c>
      <c r="D34" s="1" t="n">
        <v>45189</v>
      </c>
      <c r="E34" s="1" t="n">
        <v>46259</v>
      </c>
      <c r="F34" t="inlineStr">
        <is>
          <t>SKÅNE LÄN</t>
        </is>
      </c>
      <c r="G34" t="inlineStr">
        <is>
          <t>LUND</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29083-2023</t>
        </is>
      </c>
      <c r="B35" t="inlineStr">
        <is>
          <t>avverkningsanmälan</t>
        </is>
      </c>
      <c r="C35" t="inlineStr">
        <is>
          <t>Föryngringsavverkning</t>
        </is>
      </c>
      <c r="D35" s="1" t="n">
        <v>45105</v>
      </c>
      <c r="E35" s="1" t="n">
        <v>46259</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49297-2023</t>
        </is>
      </c>
      <c r="B36" t="inlineStr">
        <is>
          <t>avverkningsanmälan</t>
        </is>
      </c>
      <c r="C36" t="inlineStr">
        <is>
          <t>Föryngringsavverkning</t>
        </is>
      </c>
      <c r="D36" s="1" t="n">
        <v>45210</v>
      </c>
      <c r="E36" s="1" t="n">
        <v>46259</v>
      </c>
      <c r="F36" t="inlineStr">
        <is>
          <t>SKÅNE LÄN</t>
        </is>
      </c>
      <c r="G36" t="inlineStr">
        <is>
          <t>LUND</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58337-2025</t>
        </is>
      </c>
      <c r="B37" t="inlineStr">
        <is>
          <t>avverkningsanmälan</t>
        </is>
      </c>
      <c r="C37" t="inlineStr">
        <is>
          <t>Föryngringsavverkning</t>
        </is>
      </c>
      <c r="D37" s="1" t="n">
        <v>45985</v>
      </c>
      <c r="E37" s="1" t="n">
        <v>46259</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58335-2025</t>
        </is>
      </c>
      <c r="B38" t="inlineStr">
        <is>
          <t>avverkningsanmälan</t>
        </is>
      </c>
      <c r="C38" t="inlineStr">
        <is>
          <t>Föryngringsavverkning</t>
        </is>
      </c>
      <c r="D38" s="1" t="n">
        <v>45985</v>
      </c>
      <c r="E38" s="1" t="n">
        <v>46259</v>
      </c>
      <c r="F38" t="inlineStr">
        <is>
          <t>SKÅNE LÄN</t>
        </is>
      </c>
      <c r="G38" t="inlineStr">
        <is>
          <t>LUND</t>
        </is>
      </c>
      <c r="I38" t="n">
        <v>2.5</v>
      </c>
      <c r="J38" t="n">
        <v>0</v>
      </c>
      <c r="K38" t="n">
        <v>0</v>
      </c>
      <c r="L38" t="n">
        <v>0</v>
      </c>
      <c r="M38" t="n">
        <v>0</v>
      </c>
      <c r="N38" t="n">
        <v>0</v>
      </c>
      <c r="O38" t="n">
        <v>0</v>
      </c>
      <c r="P38" t="n">
        <v>0</v>
      </c>
      <c r="Q38" t="n">
        <v>0</v>
      </c>
      <c r="R38" t="n">
        <v>0</v>
      </c>
      <c r="S38" t="n">
        <v>0</v>
      </c>
      <c r="T38" t="n">
        <v>0</v>
      </c>
      <c r="U38" t="n">
        <v>0</v>
      </c>
      <c r="V38" s="2" t="inlineStr"/>
    </row>
    <row r="39" ht="15" customHeight="1">
      <c r="A39" t="inlineStr">
        <is>
          <t>A 17519-2023</t>
        </is>
      </c>
      <c r="B39" t="inlineStr">
        <is>
          <t>avverkningsanmälan</t>
        </is>
      </c>
      <c r="C39" t="inlineStr">
        <is>
          <t>Avverkning för annat ändamål</t>
        </is>
      </c>
      <c r="D39" s="1" t="n">
        <v>45036</v>
      </c>
      <c r="E39" s="1" t="n">
        <v>46259</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46259</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46259</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9889-2026</t>
        </is>
      </c>
      <c r="B42" t="inlineStr">
        <is>
          <t>avverkningsanmälan</t>
        </is>
      </c>
      <c r="C42" t="inlineStr">
        <is>
          <t>Föryngringsavverkning</t>
        </is>
      </c>
      <c r="D42" s="1" t="n">
        <v>46073</v>
      </c>
      <c r="E42" s="1" t="n">
        <v>46259</v>
      </c>
      <c r="F42" t="inlineStr">
        <is>
          <t>SKÅNE LÄN</t>
        </is>
      </c>
      <c r="G42" t="inlineStr">
        <is>
          <t>LUND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46259</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46259</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2026-08-25T01:53:11Z</dcterms:created>
  <dcterms:modified xmlns:dcterms="http://purl.org/dc/terms/" xmlns:xsi="http://www.w3.org/2001/XMLSchema-instance" xsi:type="dcterms:W3CDTF">2026-08-25T01:53:11Z</dcterms:modified>
</cp:coreProperties>
</file>