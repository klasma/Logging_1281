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46321</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46321</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46321</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46321</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46321</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46321</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46321</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46321</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46321</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46321</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46321</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46321</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11732-2024</t>
        </is>
      </c>
      <c r="B15" t="inlineStr">
        <is>
          <t>avverkningsanmälan</t>
        </is>
      </c>
      <c r="C15" t="inlineStr">
        <is>
          <t>Föryngringsavverkning</t>
        </is>
      </c>
      <c r="D15" s="1" t="n">
        <v>45373</v>
      </c>
      <c r="E15" s="1" t="n">
        <v>46321</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27377-2026</t>
        </is>
      </c>
      <c r="B16" t="inlineStr">
        <is>
          <t>avverkningsanmälan</t>
        </is>
      </c>
      <c r="C16" t="inlineStr">
        <is>
          <t>Föryngringsavverkning</t>
        </is>
      </c>
      <c r="D16" s="1" t="n">
        <v>46189</v>
      </c>
      <c r="E16" s="1" t="n">
        <v>46321</v>
      </c>
      <c r="F16" t="inlineStr">
        <is>
          <t>SKÅNE LÄN</t>
        </is>
      </c>
      <c r="G16" t="inlineStr">
        <is>
          <t>LUND</t>
        </is>
      </c>
      <c r="I16" t="n">
        <v>0.7</v>
      </c>
      <c r="J16" t="n">
        <v>1</v>
      </c>
      <c r="K16" t="n">
        <v>0</v>
      </c>
      <c r="L16" t="n">
        <v>0</v>
      </c>
      <c r="M16" t="n">
        <v>0</v>
      </c>
      <c r="N16" t="n">
        <v>0</v>
      </c>
      <c r="O16" t="n">
        <v>0</v>
      </c>
      <c r="P16" t="n">
        <v>0</v>
      </c>
      <c r="Q16" t="n">
        <v>0</v>
      </c>
      <c r="R16" t="n">
        <v>0</v>
      </c>
      <c r="S16" t="n">
        <v>1</v>
      </c>
      <c r="T16" t="n">
        <v>1</v>
      </c>
      <c r="U16" t="n">
        <v>0</v>
      </c>
      <c r="V16" s="2" t="inlineStr">
        <is>
          <t>Ätlig groda</t>
        </is>
      </c>
      <c r="W16">
        <f>HYPERLINK("https://klasma.github.io/Logging_1281/artfynd/A 27377-2026 artfynd.xlsx", "A 27377-2026")</f>
        <v/>
      </c>
      <c r="X16">
        <f>HYPERLINK("https://klasma.github.io/Logging_1281/kartor/A 27377-2026 karta.png", "A 27377-2026")</f>
        <v/>
      </c>
      <c r="Y16">
        <f>HYPERLINK("https://klasma.github.io/Logging_1281/kartor_geotiff/A 27377-2026 georefererad karta.tif", "A 27377-2026")</f>
        <v/>
      </c>
      <c r="AA16">
        <f>HYPERLINK("https://klasma.github.io/Logging_1281/klagomål/A 27377-2026 FSC-klagomål.docx", "A 27377-2026")</f>
        <v/>
      </c>
      <c r="AB16">
        <f>HYPERLINK("https://klasma.github.io/Logging_1281/klagomålsmail/A 27377-2026 FSC-klagomål mail.docx", "A 27377-2026")</f>
        <v/>
      </c>
      <c r="AC16">
        <f>HYPERLINK("https://klasma.github.io/Logging_1281/tillsyn/A 27377-2026 tillsynsbegäran.docx", "A 27377-2026")</f>
        <v/>
      </c>
      <c r="AD16">
        <f>HYPERLINK("https://klasma.github.io/Logging_1281/tillsynsmail/A 27377-2026 tillsynsbegäran mail.docx", "A 27377-2026")</f>
        <v/>
      </c>
    </row>
    <row r="17" ht="15" customHeight="1">
      <c r="A17" t="inlineStr">
        <is>
          <t>A 4746-2025</t>
        </is>
      </c>
      <c r="B17" t="inlineStr">
        <is>
          <t>avverkningsanmälan</t>
        </is>
      </c>
      <c r="C17" t="inlineStr">
        <is>
          <t>Föryngringsavverkning</t>
        </is>
      </c>
      <c r="D17" s="1" t="n">
        <v>45688</v>
      </c>
      <c r="E17" s="1" t="n">
        <v>46321</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46321</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55145-2023</t>
        </is>
      </c>
      <c r="B19" t="inlineStr">
        <is>
          <t>avverkningsanmälan</t>
        </is>
      </c>
      <c r="C19" t="inlineStr">
        <is>
          <t>Avverkning för att bevara och utveckla /försöksver</t>
        </is>
      </c>
      <c r="D19" s="1" t="n">
        <v>45237</v>
      </c>
      <c r="E19" s="1" t="n">
        <v>46321</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55158-2023</t>
        </is>
      </c>
      <c r="B20" t="inlineStr">
        <is>
          <t>avverkningsanmälan</t>
        </is>
      </c>
      <c r="C20" t="inlineStr">
        <is>
          <t>Föryngringsavverkning</t>
        </is>
      </c>
      <c r="D20" s="1" t="n">
        <v>45237</v>
      </c>
      <c r="E20" s="1" t="n">
        <v>46321</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S 2231-2022</t>
        </is>
      </c>
      <c r="B21" t="inlineStr">
        <is>
          <t>samrådsanmälan</t>
        </is>
      </c>
      <c r="C21" t="inlineStr">
        <is>
          <t>Åtgärd i nyckelbiotop</t>
        </is>
      </c>
      <c r="D21" s="1" t="n">
        <v>44679</v>
      </c>
      <c r="E21" s="1" t="n">
        <v>46321</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46321</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44646-2023</t>
        </is>
      </c>
      <c r="B23" t="inlineStr">
        <is>
          <t>avverkningsanmälan</t>
        </is>
      </c>
      <c r="C23" t="inlineStr">
        <is>
          <t>Föryngringsavverkning</t>
        </is>
      </c>
      <c r="D23" s="1" t="n">
        <v>45189</v>
      </c>
      <c r="E23" s="1" t="n">
        <v>46321</v>
      </c>
      <c r="F23" t="inlineStr">
        <is>
          <t>SKÅNE LÄN</t>
        </is>
      </c>
      <c r="G23" t="inlineStr">
        <is>
          <t>LUND</t>
        </is>
      </c>
      <c r="I23" t="n">
        <v>3.2</v>
      </c>
      <c r="J23" t="n">
        <v>0</v>
      </c>
      <c r="K23" t="n">
        <v>0</v>
      </c>
      <c r="L23" t="n">
        <v>0</v>
      </c>
      <c r="M23" t="n">
        <v>0</v>
      </c>
      <c r="N23" t="n">
        <v>0</v>
      </c>
      <c r="O23" t="n">
        <v>0</v>
      </c>
      <c r="P23" t="n">
        <v>0</v>
      </c>
      <c r="Q23" t="n">
        <v>0</v>
      </c>
      <c r="R23" t="n">
        <v>0</v>
      </c>
      <c r="S23" t="n">
        <v>0</v>
      </c>
      <c r="T23" t="n">
        <v>0</v>
      </c>
      <c r="U23" t="n">
        <v>0</v>
      </c>
      <c r="V23" s="2" t="inlineStr"/>
    </row>
    <row r="24" ht="15" customHeight="1">
      <c r="A24" t="inlineStr">
        <is>
          <t>A 29083-2023</t>
        </is>
      </c>
      <c r="B24" t="inlineStr">
        <is>
          <t>avverkningsanmälan</t>
        </is>
      </c>
      <c r="C24" t="inlineStr">
        <is>
          <t>Föryngringsavverkning</t>
        </is>
      </c>
      <c r="D24" s="1" t="n">
        <v>45105</v>
      </c>
      <c r="E24" s="1" t="n">
        <v>46321</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46321</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49297-2023</t>
        </is>
      </c>
      <c r="B26" t="inlineStr">
        <is>
          <t>avverkningsanmälan</t>
        </is>
      </c>
      <c r="C26" t="inlineStr">
        <is>
          <t>Föryngringsavverkning</t>
        </is>
      </c>
      <c r="D26" s="1" t="n">
        <v>45210</v>
      </c>
      <c r="E26" s="1" t="n">
        <v>46321</v>
      </c>
      <c r="F26" t="inlineStr">
        <is>
          <t>SKÅNE LÄN</t>
        </is>
      </c>
      <c r="G26" t="inlineStr">
        <is>
          <t>LUND</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17519-2023</t>
        </is>
      </c>
      <c r="B27" t="inlineStr">
        <is>
          <t>avverkningsanmälan</t>
        </is>
      </c>
      <c r="C27" t="inlineStr">
        <is>
          <t>Avverkning för annat ändamål</t>
        </is>
      </c>
      <c r="D27" s="1" t="n">
        <v>45036</v>
      </c>
      <c r="E27" s="1" t="n">
        <v>46321</v>
      </c>
      <c r="F27" t="inlineStr">
        <is>
          <t>SKÅNE LÄN</t>
        </is>
      </c>
      <c r="G27" t="inlineStr">
        <is>
          <t>LUND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46321</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46321</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30506-2026</t>
        </is>
      </c>
      <c r="B30" t="inlineStr">
        <is>
          <t>avverkningsanmälan</t>
        </is>
      </c>
      <c r="C30" t="inlineStr">
        <is>
          <t>Föryngringsavverkning</t>
        </is>
      </c>
      <c r="D30" s="1" t="n">
        <v>46210</v>
      </c>
      <c r="E30" s="1" t="n">
        <v>46321</v>
      </c>
      <c r="F30" t="inlineStr">
        <is>
          <t>SKÅNE LÄN</t>
        </is>
      </c>
      <c r="G30" t="inlineStr">
        <is>
          <t>LUND</t>
        </is>
      </c>
      <c r="H30" t="inlineStr">
        <is>
          <t>Kommuner</t>
        </is>
      </c>
      <c r="I30" t="n">
        <v>6.6</v>
      </c>
      <c r="J30" t="n">
        <v>0</v>
      </c>
      <c r="K30" t="n">
        <v>0</v>
      </c>
      <c r="L30" t="n">
        <v>0</v>
      </c>
      <c r="M30" t="n">
        <v>0</v>
      </c>
      <c r="N30" t="n">
        <v>0</v>
      </c>
      <c r="O30" t="n">
        <v>0</v>
      </c>
      <c r="P30" t="n">
        <v>0</v>
      </c>
      <c r="Q30" t="n">
        <v>0</v>
      </c>
      <c r="R30" t="n">
        <v>0</v>
      </c>
      <c r="S30" t="n">
        <v>0</v>
      </c>
      <c r="T30" t="n">
        <v>0</v>
      </c>
      <c r="U30" t="n">
        <v>0</v>
      </c>
      <c r="V30" s="2" t="inlineStr"/>
    </row>
    <row r="31" ht="15" customHeight="1">
      <c r="A31" t="inlineStr">
        <is>
          <t>A 33019-2026</t>
        </is>
      </c>
      <c r="B31" t="inlineStr">
        <is>
          <t>avverkningsanmälan</t>
        </is>
      </c>
      <c r="C31" t="inlineStr">
        <is>
          <t>Föryngringsavverkning</t>
        </is>
      </c>
      <c r="D31" s="1" t="n">
        <v>46244</v>
      </c>
      <c r="E31" s="1" t="n">
        <v>46321</v>
      </c>
      <c r="F31" t="inlineStr">
        <is>
          <t>SKÅNE LÄN</t>
        </is>
      </c>
      <c r="G31" t="inlineStr">
        <is>
          <t>LUND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9889-2026</t>
        </is>
      </c>
      <c r="B32" t="inlineStr">
        <is>
          <t>avverkningsanmälan</t>
        </is>
      </c>
      <c r="C32" t="inlineStr">
        <is>
          <t>Föryngringsavverkning</t>
        </is>
      </c>
      <c r="D32" s="1" t="n">
        <v>46073</v>
      </c>
      <c r="E32" s="1" t="n">
        <v>46321</v>
      </c>
      <c r="F32" t="inlineStr">
        <is>
          <t>SKÅNE LÄN</t>
        </is>
      </c>
      <c r="G32" t="inlineStr">
        <is>
          <t>LUND</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32972-2024</t>
        </is>
      </c>
      <c r="B33" t="inlineStr">
        <is>
          <t>avverkningsanmälan</t>
        </is>
      </c>
      <c r="C33" t="inlineStr">
        <is>
          <t>Föryngringsavverkning</t>
        </is>
      </c>
      <c r="D33" s="1" t="n">
        <v>45517</v>
      </c>
      <c r="E33" s="1" t="n">
        <v>46321</v>
      </c>
      <c r="F33" t="inlineStr">
        <is>
          <t>SKÅNE LÄN</t>
        </is>
      </c>
      <c r="G33" t="inlineStr">
        <is>
          <t>LUND</t>
        </is>
      </c>
      <c r="H33" t="inlineStr">
        <is>
          <t>Kommuner</t>
        </is>
      </c>
      <c r="I33" t="n">
        <v>20.7</v>
      </c>
      <c r="J33" t="n">
        <v>0</v>
      </c>
      <c r="K33" t="n">
        <v>0</v>
      </c>
      <c r="L33" t="n">
        <v>0</v>
      </c>
      <c r="M33" t="n">
        <v>0</v>
      </c>
      <c r="N33" t="n">
        <v>0</v>
      </c>
      <c r="O33" t="n">
        <v>0</v>
      </c>
      <c r="P33" t="n">
        <v>0</v>
      </c>
      <c r="Q33" t="n">
        <v>0</v>
      </c>
      <c r="R33" t="n">
        <v>0</v>
      </c>
      <c r="S33" t="n">
        <v>0</v>
      </c>
      <c r="T33" t="n">
        <v>0</v>
      </c>
      <c r="U33" t="n">
        <v>0</v>
      </c>
      <c r="V33" s="2" t="inlineStr"/>
    </row>
    <row r="34" ht="15" customHeight="1">
      <c r="A34" t="inlineStr">
        <is>
          <t>A 5059-2025</t>
        </is>
      </c>
      <c r="B34" t="inlineStr">
        <is>
          <t>avverkningsanmälan</t>
        </is>
      </c>
      <c r="C34" t="inlineStr">
        <is>
          <t>Föryngringsavverkning</t>
        </is>
      </c>
      <c r="D34" s="1" t="n">
        <v>45691</v>
      </c>
      <c r="E34" s="1" t="n">
        <v>46321</v>
      </c>
      <c r="F34" t="inlineStr">
        <is>
          <t>SKÅNE LÄN</t>
        </is>
      </c>
      <c r="G34" t="inlineStr">
        <is>
          <t>LUND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20277-2026</t>
        </is>
      </c>
      <c r="B35" t="inlineStr">
        <is>
          <t>avverkningsanmälan</t>
        </is>
      </c>
      <c r="C35" t="inlineStr">
        <is>
          <t>Föryngringsavverkning</t>
        </is>
      </c>
      <c r="D35" s="1" t="n">
        <v>46139</v>
      </c>
      <c r="E35" s="1" t="n">
        <v>46321</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46321</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21767-2023</t>
        </is>
      </c>
      <c r="B37" t="inlineStr">
        <is>
          <t>avverkningsanmälan</t>
        </is>
      </c>
      <c r="C37" t="inlineStr">
        <is>
          <t>Föryngringsavverkning</t>
        </is>
      </c>
      <c r="D37" s="1" t="n">
        <v>45065</v>
      </c>
      <c r="E37" s="1" t="n">
        <v>46321</v>
      </c>
      <c r="F37" t="inlineStr">
        <is>
          <t>SKÅNE LÄN</t>
        </is>
      </c>
      <c r="G37" t="inlineStr">
        <is>
          <t>LUND</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46321</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46321</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28885-2022</t>
        </is>
      </c>
      <c r="B40" t="inlineStr">
        <is>
          <t>avverkningsanmälan</t>
        </is>
      </c>
      <c r="C40" t="inlineStr">
        <is>
          <t>Föryngringsavverkning</t>
        </is>
      </c>
      <c r="D40" s="1" t="n">
        <v>44749</v>
      </c>
      <c r="E40" s="1" t="n">
        <v>46321</v>
      </c>
      <c r="F40" t="inlineStr">
        <is>
          <t>SKÅNE LÄN</t>
        </is>
      </c>
      <c r="G40" t="inlineStr">
        <is>
          <t>LUND</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16499-2025</t>
        </is>
      </c>
      <c r="B41" t="inlineStr">
        <is>
          <t>avverkningsanmälan</t>
        </is>
      </c>
      <c r="C41" t="inlineStr">
        <is>
          <t>Föryngringsavverkning</t>
        </is>
      </c>
      <c r="D41" s="1" t="n">
        <v>45751</v>
      </c>
      <c r="E41" s="1" t="n">
        <v>46321</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46321</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46321</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2026-10-26T03:07:48Z</dcterms:created>
  <dcterms:modified xmlns:dcterms="http://purl.org/dc/terms/" xmlns:xsi="http://www.w3.org/2001/XMLSchema-instance" xsi:type="dcterms:W3CDTF">2026-10-26T03:07:48Z</dcterms:modified>
</cp:coreProperties>
</file>