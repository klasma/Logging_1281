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46276</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46276</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46276</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46276</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46276</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46276</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46276</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46276</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46276</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46276</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46276</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46276</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46276</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39260-2025</t>
        </is>
      </c>
      <c r="B16" t="inlineStr">
        <is>
          <t>avverkningsanmälan</t>
        </is>
      </c>
      <c r="C16" t="inlineStr">
        <is>
          <t>Föryngringsavverkning</t>
        </is>
      </c>
      <c r="D16" s="1" t="n">
        <v>45889</v>
      </c>
      <c r="E16" s="1" t="n">
        <v>46276</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11732-2024</t>
        </is>
      </c>
      <c r="B17" t="inlineStr">
        <is>
          <t>avverkningsanmälan</t>
        </is>
      </c>
      <c r="C17" t="inlineStr">
        <is>
          <t>Föryngringsavverkning</t>
        </is>
      </c>
      <c r="D17" s="1" t="n">
        <v>45373</v>
      </c>
      <c r="E17" s="1" t="n">
        <v>46276</v>
      </c>
      <c r="F17" t="inlineStr">
        <is>
          <t>SKÅNE LÄN</t>
        </is>
      </c>
      <c r="G17" t="inlineStr">
        <is>
          <t>LUND</t>
        </is>
      </c>
      <c r="I17" t="n">
        <v>2.8</v>
      </c>
      <c r="J17" t="n">
        <v>1</v>
      </c>
      <c r="K17" t="n">
        <v>0</v>
      </c>
      <c r="L17" t="n">
        <v>0</v>
      </c>
      <c r="M17" t="n">
        <v>0</v>
      </c>
      <c r="N17" t="n">
        <v>1</v>
      </c>
      <c r="O17" t="n">
        <v>0</v>
      </c>
      <c r="P17" t="n">
        <v>0</v>
      </c>
      <c r="Q17" t="n">
        <v>1</v>
      </c>
      <c r="R17" t="n">
        <v>1</v>
      </c>
      <c r="S17" t="n">
        <v>1</v>
      </c>
      <c r="T17" t="n">
        <v>2</v>
      </c>
      <c r="U17" t="n">
        <v>2</v>
      </c>
      <c r="V17" s="2" t="inlineStr">
        <is>
          <t>Dvärgjohannesört</t>
        </is>
      </c>
      <c r="W17">
        <f>HYPERLINK("https://klasma.github.io/Logging_1281/artfynd/A 11732-2024 artfynd.xlsx", "A 11732-2024")</f>
        <v/>
      </c>
      <c r="X17">
        <f>HYPERLINK("https://klasma.github.io/Logging_1281/kartor/A 11732-2024 karta.png", "A 11732-2024")</f>
        <v/>
      </c>
      <c r="Y17">
        <f>HYPERLINK("https://klasma.github.io/Logging_1281/kartor_geotiff/A 11732-2024 georefererad karta.tif", "A 11732-2024")</f>
        <v/>
      </c>
      <c r="AA17">
        <f>HYPERLINK("https://klasma.github.io/Logging_1281/klagomål/A 11732-2024 FSC-klagomål.docx", "A 11732-2024")</f>
        <v/>
      </c>
      <c r="AB17">
        <f>HYPERLINK("https://klasma.github.io/Logging_1281/klagomålsmail/A 11732-2024 FSC-klagomål mail.docx", "A 11732-2024")</f>
        <v/>
      </c>
      <c r="AC17">
        <f>HYPERLINK("https://klasma.github.io/Logging_1281/tillsyn/A 11732-2024 tillsynsbegäran.docx", "A 11732-2024")</f>
        <v/>
      </c>
      <c r="AD17">
        <f>HYPERLINK("https://klasma.github.io/Logging_1281/tillsynsmail/A 11732-2024 tillsynsbegäran mail.docx", "A 11732-2024")</f>
        <v/>
      </c>
    </row>
    <row r="18" ht="15" customHeight="1">
      <c r="A18" t="inlineStr">
        <is>
          <t>A 4746-2025</t>
        </is>
      </c>
      <c r="B18" t="inlineStr">
        <is>
          <t>avverkningsanmälan</t>
        </is>
      </c>
      <c r="C18" t="inlineStr">
        <is>
          <t>Föryngringsavverkning</t>
        </is>
      </c>
      <c r="D18" s="1" t="n">
        <v>45688</v>
      </c>
      <c r="E18" s="1" t="n">
        <v>46276</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29075-2023</t>
        </is>
      </c>
      <c r="B19" t="inlineStr">
        <is>
          <t>avverkningsanmälan</t>
        </is>
      </c>
      <c r="C19" t="inlineStr">
        <is>
          <t>Föryngringsavverkning</t>
        </is>
      </c>
      <c r="D19" s="1" t="n">
        <v>45104</v>
      </c>
      <c r="E19" s="1" t="n">
        <v>46276</v>
      </c>
      <c r="F19" t="inlineStr">
        <is>
          <t>SKÅNE LÄN</t>
        </is>
      </c>
      <c r="G19" t="inlineStr">
        <is>
          <t>LUND</t>
        </is>
      </c>
      <c r="I19" t="n">
        <v>0.7</v>
      </c>
      <c r="J19" t="n">
        <v>0</v>
      </c>
      <c r="K19" t="n">
        <v>0</v>
      </c>
      <c r="L19" t="n">
        <v>1</v>
      </c>
      <c r="M19" t="n">
        <v>0</v>
      </c>
      <c r="N19" t="n">
        <v>0</v>
      </c>
      <c r="O19" t="n">
        <v>0</v>
      </c>
      <c r="P19" t="n">
        <v>0</v>
      </c>
      <c r="Q19" t="n">
        <v>1</v>
      </c>
      <c r="R19" t="n">
        <v>0</v>
      </c>
      <c r="S19" t="n">
        <v>1</v>
      </c>
      <c r="T19" t="n">
        <v>1</v>
      </c>
      <c r="U19" t="n">
        <v>1</v>
      </c>
      <c r="V19" s="2" t="inlineStr">
        <is>
          <t>Bokvårtlav</t>
        </is>
      </c>
      <c r="W19">
        <f>HYPERLINK("https://klasma.github.io/Logging_1281/artfynd/A 29075-2023 artfynd.xlsx", "A 29075-2023")</f>
        <v/>
      </c>
      <c r="X19">
        <f>HYPERLINK("https://klasma.github.io/Logging_1281/kartor/A 29075-2023 karta.png", "A 29075-2023")</f>
        <v/>
      </c>
      <c r="Y19">
        <f>HYPERLINK("https://klasma.github.io/Logging_1281/kartor_geotiff/A 29075-2023 georefererad karta.tif", "A 29075-2023")</f>
        <v/>
      </c>
      <c r="AA19">
        <f>HYPERLINK("https://klasma.github.io/Logging_1281/klagomål/A 29075-2023 FSC-klagomål.docx", "A 29075-2023")</f>
        <v/>
      </c>
      <c r="AB19">
        <f>HYPERLINK("https://klasma.github.io/Logging_1281/klagomålsmail/A 29075-2023 FSC-klagomål mail.docx", "A 29075-2023")</f>
        <v/>
      </c>
      <c r="AC19">
        <f>HYPERLINK("https://klasma.github.io/Logging_1281/tillsyn/A 29075-2023 tillsynsbegäran.docx", "A 29075-2023")</f>
        <v/>
      </c>
      <c r="AD19">
        <f>HYPERLINK("https://klasma.github.io/Logging_1281/tillsynsmail/A 29075-2023 tillsynsbegäran mail.docx", "A 29075-2023")</f>
        <v/>
      </c>
    </row>
    <row r="20" ht="15" customHeight="1">
      <c r="A20" t="inlineStr">
        <is>
          <t>A 59227-2025</t>
        </is>
      </c>
      <c r="B20" t="inlineStr">
        <is>
          <t>avverkningsanmälan</t>
        </is>
      </c>
      <c r="C20" t="inlineStr">
        <is>
          <t>Föryngringsavverkning</t>
        </is>
      </c>
      <c r="D20" s="1" t="n">
        <v>45988</v>
      </c>
      <c r="E20" s="1" t="n">
        <v>46276</v>
      </c>
      <c r="F20" t="inlineStr">
        <is>
          <t>SKÅNE LÄN</t>
        </is>
      </c>
      <c r="G20" t="inlineStr">
        <is>
          <t>LUND</t>
        </is>
      </c>
      <c r="I20" t="n">
        <v>7.1</v>
      </c>
      <c r="J20" t="n">
        <v>0</v>
      </c>
      <c r="K20" t="n">
        <v>1</v>
      </c>
      <c r="L20" t="n">
        <v>0</v>
      </c>
      <c r="M20" t="n">
        <v>0</v>
      </c>
      <c r="N20" t="n">
        <v>0</v>
      </c>
      <c r="O20" t="n">
        <v>0</v>
      </c>
      <c r="P20" t="n">
        <v>0</v>
      </c>
      <c r="Q20" t="n">
        <v>0</v>
      </c>
      <c r="R20" t="n">
        <v>0</v>
      </c>
      <c r="S20" t="n">
        <v>1</v>
      </c>
      <c r="T20" t="n">
        <v>1</v>
      </c>
      <c r="U20" t="n">
        <v>0</v>
      </c>
      <c r="V20" s="2" t="inlineStr">
        <is>
          <t>Scharlakansskål</t>
        </is>
      </c>
      <c r="W20">
        <f>HYPERLINK("https://klasma.github.io/Logging_1281/artfynd/A 59227-2025 artfynd.xlsx", "A 59227-2025")</f>
        <v/>
      </c>
      <c r="X20">
        <f>HYPERLINK("https://klasma.github.io/Logging_1281/kartor/A 59227-2025 karta.png", "A 59227-2025")</f>
        <v/>
      </c>
      <c r="Y20">
        <f>HYPERLINK("https://klasma.github.io/Logging_1281/kartor_geotiff/A 59227-2025 georefererad karta.tif", "A 59227-2025")</f>
        <v/>
      </c>
      <c r="AA20">
        <f>HYPERLINK("https://klasma.github.io/Logging_1281/klagomål/A 59227-2025 FSC-klagomål.docx", "A 59227-2025")</f>
        <v/>
      </c>
      <c r="AB20">
        <f>HYPERLINK("https://klasma.github.io/Logging_1281/klagomålsmail/A 59227-2025 FSC-klagomål mail.docx", "A 59227-2025")</f>
        <v/>
      </c>
      <c r="AC20">
        <f>HYPERLINK("https://klasma.github.io/Logging_1281/tillsyn/A 59227-2025 tillsynsbegäran.docx", "A 59227-2025")</f>
        <v/>
      </c>
      <c r="AD20">
        <f>HYPERLINK("https://klasma.github.io/Logging_1281/tillsynsmail/A 59227-2025 tillsynsbegäran mail.docx", "A 59227-2025")</f>
        <v/>
      </c>
    </row>
    <row r="21" ht="15" customHeight="1">
      <c r="A21" t="inlineStr">
        <is>
          <t>A 27377-2026</t>
        </is>
      </c>
      <c r="B21" t="inlineStr">
        <is>
          <t>avverkningsanmälan</t>
        </is>
      </c>
      <c r="C21" t="inlineStr">
        <is>
          <t>Föryngringsavverkning</t>
        </is>
      </c>
      <c r="D21" s="1" t="n">
        <v>46189</v>
      </c>
      <c r="E21" s="1" t="n">
        <v>46276</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A 55145-2023</t>
        </is>
      </c>
      <c r="B22" t="inlineStr">
        <is>
          <t>avverkningsanmälan</t>
        </is>
      </c>
      <c r="C22" t="inlineStr">
        <is>
          <t>Avverkning för att bevara och utveckla /försöksver</t>
        </is>
      </c>
      <c r="D22" s="1" t="n">
        <v>45237</v>
      </c>
      <c r="E22" s="1" t="n">
        <v>46276</v>
      </c>
      <c r="F22" t="inlineStr">
        <is>
          <t>SKÅNE LÄN</t>
        </is>
      </c>
      <c r="G22" t="inlineStr">
        <is>
          <t>LUND</t>
        </is>
      </c>
      <c r="H22" t="inlineStr">
        <is>
          <t>Kommuner</t>
        </is>
      </c>
      <c r="I22" t="n">
        <v>4.5</v>
      </c>
      <c r="J22" t="n">
        <v>0</v>
      </c>
      <c r="K22" t="n">
        <v>1</v>
      </c>
      <c r="L22" t="n">
        <v>0</v>
      </c>
      <c r="M22" t="n">
        <v>0</v>
      </c>
      <c r="N22" t="n">
        <v>0</v>
      </c>
      <c r="O22" t="n">
        <v>0</v>
      </c>
      <c r="P22" t="n">
        <v>0</v>
      </c>
      <c r="Q22" t="n">
        <v>0</v>
      </c>
      <c r="R22" t="n">
        <v>0</v>
      </c>
      <c r="S22" t="n">
        <v>1</v>
      </c>
      <c r="T22" t="n">
        <v>1</v>
      </c>
      <c r="U22" t="n">
        <v>1</v>
      </c>
      <c r="V22" s="2" t="inlineStr">
        <is>
          <t>Grovticka</t>
        </is>
      </c>
      <c r="W22">
        <f>HYPERLINK("https://klasma.github.io/Logging_1281/artfynd/A 55145-2023 artfynd.xlsx", "A 55145-2023")</f>
        <v/>
      </c>
      <c r="X22">
        <f>HYPERLINK("https://klasma.github.io/Logging_1281/kartor/A 55145-2023 karta.png", "A 55145-2023")</f>
        <v/>
      </c>
      <c r="Y22">
        <f>HYPERLINK("https://klasma.github.io/Logging_1281/kartor_geotiff/A 55145-2023 georefererad karta.tif", "A 55145-2023")</f>
        <v/>
      </c>
      <c r="AA22">
        <f>HYPERLINK("https://klasma.github.io/Logging_1281/klagomål/A 55145-2023 FSC-klagomål.docx", "A 55145-2023")</f>
        <v/>
      </c>
      <c r="AB22">
        <f>HYPERLINK("https://klasma.github.io/Logging_1281/klagomålsmail/A 55145-2023 FSC-klagomål mail.docx", "A 55145-2023")</f>
        <v/>
      </c>
      <c r="AC22">
        <f>HYPERLINK("https://klasma.github.io/Logging_1281/tillsyn/A 55145-2023 tillsynsbegäran.docx", "A 55145-2023")</f>
        <v/>
      </c>
      <c r="AD22">
        <f>HYPERLINK("https://klasma.github.io/Logging_1281/tillsynsmail/A 55145-2023 tillsynsbegäran mail.docx", "A 55145-2023")</f>
        <v/>
      </c>
    </row>
    <row r="23" ht="15" customHeight="1">
      <c r="A23" t="inlineStr">
        <is>
          <t>S 2231-2022</t>
        </is>
      </c>
      <c r="B23" t="inlineStr">
        <is>
          <t>samrådsanmälan</t>
        </is>
      </c>
      <c r="C23" t="inlineStr">
        <is>
          <t>Åtgärd i nyckelbiotop</t>
        </is>
      </c>
      <c r="D23" s="1" t="n">
        <v>44679</v>
      </c>
      <c r="E23" s="1" t="n">
        <v>46276</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46276</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46276</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46276</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46276</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9889-2026</t>
        </is>
      </c>
      <c r="B28" t="inlineStr">
        <is>
          <t>avverkningsanmälan</t>
        </is>
      </c>
      <c r="C28" t="inlineStr">
        <is>
          <t>Föryngringsavverkning</t>
        </is>
      </c>
      <c r="D28" s="1" t="n">
        <v>46073</v>
      </c>
      <c r="E28" s="1" t="n">
        <v>46276</v>
      </c>
      <c r="F28" t="inlineStr">
        <is>
          <t>SKÅNE LÄN</t>
        </is>
      </c>
      <c r="G28" t="inlineStr">
        <is>
          <t>LUND</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45725-2022</t>
        </is>
      </c>
      <c r="B29" t="inlineStr">
        <is>
          <t>avverkningsanmälan</t>
        </is>
      </c>
      <c r="C29" t="inlineStr">
        <is>
          <t>Föryngringsavverkning</t>
        </is>
      </c>
      <c r="D29" s="1" t="n">
        <v>44846</v>
      </c>
      <c r="E29" s="1" t="n">
        <v>46276</v>
      </c>
      <c r="F29" t="inlineStr">
        <is>
          <t>SKÅNE LÄN</t>
        </is>
      </c>
      <c r="G29" t="inlineStr">
        <is>
          <t>LUND</t>
        </is>
      </c>
      <c r="I29" t="n">
        <v>1.2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46276</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58337-2025</t>
        </is>
      </c>
      <c r="B31" t="inlineStr">
        <is>
          <t>avverkningsanmälan</t>
        </is>
      </c>
      <c r="C31" t="inlineStr">
        <is>
          <t>Föryngringsavverkning</t>
        </is>
      </c>
      <c r="D31" s="1" t="n">
        <v>45985</v>
      </c>
      <c r="E31" s="1" t="n">
        <v>46276</v>
      </c>
      <c r="F31" t="inlineStr">
        <is>
          <t>SKÅNE LÄN</t>
        </is>
      </c>
      <c r="G31" t="inlineStr">
        <is>
          <t>LUND</t>
        </is>
      </c>
      <c r="I31" t="n">
        <v>2</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46276</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20277-2026</t>
        </is>
      </c>
      <c r="B33" t="inlineStr">
        <is>
          <t>avverkningsanmälan</t>
        </is>
      </c>
      <c r="C33" t="inlineStr">
        <is>
          <t>Föryngringsavverkning</t>
        </is>
      </c>
      <c r="D33" s="1" t="n">
        <v>46139</v>
      </c>
      <c r="E33" s="1" t="n">
        <v>46276</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17519-2023</t>
        </is>
      </c>
      <c r="B34" t="inlineStr">
        <is>
          <t>avverkningsanmälan</t>
        </is>
      </c>
      <c r="C34" t="inlineStr">
        <is>
          <t>Avverkning för annat ändamål</t>
        </is>
      </c>
      <c r="D34" s="1" t="n">
        <v>45036</v>
      </c>
      <c r="E34" s="1" t="n">
        <v>46276</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46276</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46276</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46276</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46276</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46276</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46276</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46276</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46276</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30506-2026</t>
        </is>
      </c>
      <c r="B43" t="inlineStr">
        <is>
          <t>avverkningsanmälan</t>
        </is>
      </c>
      <c r="C43" t="inlineStr">
        <is>
          <t>Föryngringsavverkning</t>
        </is>
      </c>
      <c r="D43" s="1" t="n">
        <v>46210</v>
      </c>
      <c r="E43" s="1" t="n">
        <v>46276</v>
      </c>
      <c r="F43" t="inlineStr">
        <is>
          <t>SKÅNE LÄN</t>
        </is>
      </c>
      <c r="G43" t="inlineStr">
        <is>
          <t>LUND</t>
        </is>
      </c>
      <c r="H43" t="inlineStr">
        <is>
          <t>Kommuner</t>
        </is>
      </c>
      <c r="I43" t="n">
        <v>6.6</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46276</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46276</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2026-09-11T02:12:58Z</dcterms:created>
  <dcterms:modified xmlns:dcterms="http://purl.org/dc/terms/" xmlns:xsi="http://www.w3.org/2001/XMLSchema-instance" xsi:type="dcterms:W3CDTF">2026-09-11T02:12:58Z</dcterms:modified>
</cp:coreProperties>
</file>