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40999-2021</t>
        </is>
      </c>
      <c r="B2" s="1" t="n">
        <v>44421</v>
      </c>
      <c r="C2" s="1" t="n">
        <v>46204</v>
      </c>
      <c r="D2" t="inlineStr">
        <is>
          <t>SKÅNE LÄN</t>
        </is>
      </c>
      <c r="E2" t="inlineStr">
        <is>
          <t>LUND</t>
        </is>
      </c>
      <c r="G2" t="n">
        <v>4.4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Järnsparv
Talltita
Spillkråka
Gröngöling
Vanlig groda
Vanlig snok</t>
        </is>
      </c>
      <c r="S2">
        <f>HYPERLINK("https://klasma.github.io/Logging_1281/artfynd/A 40999-2021 artfynd.xlsx", "A 40999-2021")</f>
        <v/>
      </c>
      <c r="T2">
        <f>HYPERLINK("https://klasma.github.io/Logging_1281/kartor/A 40999-2021 karta.png", "A 40999-2021")</f>
        <v/>
      </c>
      <c r="V2">
        <f>HYPERLINK("https://klasma.github.io/Logging_1281/klagomål/A 40999-2021 FSC-klagomål.docx", "A 40999-2021")</f>
        <v/>
      </c>
      <c r="W2">
        <f>HYPERLINK("https://klasma.github.io/Logging_1281/klagomålsmail/A 40999-2021 FSC-klagomål mail.docx", "A 40999-2021")</f>
        <v/>
      </c>
      <c r="X2">
        <f>HYPERLINK("https://klasma.github.io/Logging_1281/tillsyn/A 40999-2021 tillsynsbegäran.docx", "A 40999-2021")</f>
        <v/>
      </c>
      <c r="Y2">
        <f>HYPERLINK("https://klasma.github.io/Logging_1281/tillsynsmail/A 40999-2021 tillsynsbegäran mail.docx", "A 40999-2021")</f>
        <v/>
      </c>
      <c r="Z2">
        <f>HYPERLINK("https://klasma.github.io/Logging_1281/fåglar/A 40999-2021 prioriterade fågelarter.docx", "A 40999-2021")</f>
        <v/>
      </c>
    </row>
    <row r="3" ht="15" customHeight="1">
      <c r="A3" t="inlineStr">
        <is>
          <t>A 59733-2023</t>
        </is>
      </c>
      <c r="B3" s="1" t="n">
        <v>45257</v>
      </c>
      <c r="C3" s="1" t="n">
        <v>46204</v>
      </c>
      <c r="D3" t="inlineStr">
        <is>
          <t>SKÅNE LÄN</t>
        </is>
      </c>
      <c r="E3" t="inlineStr">
        <is>
          <t>LUND</t>
        </is>
      </c>
      <c r="G3" t="n">
        <v>8.9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Småvänderot
Backtimjan
Scharlakansvaxing
Ängsfingersvamp</t>
        </is>
      </c>
      <c r="S3">
        <f>HYPERLINK("https://klasma.github.io/Logging_1281/artfynd/A 59733-2023 artfynd.xlsx", "A 59733-2023")</f>
        <v/>
      </c>
      <c r="T3">
        <f>HYPERLINK("https://klasma.github.io/Logging_1281/kartor/A 59733-2023 karta.png", "A 59733-2023")</f>
        <v/>
      </c>
      <c r="V3">
        <f>HYPERLINK("https://klasma.github.io/Logging_1281/klagomål/A 59733-2023 FSC-klagomål.docx", "A 59733-2023")</f>
        <v/>
      </c>
      <c r="W3">
        <f>HYPERLINK("https://klasma.github.io/Logging_1281/klagomålsmail/A 59733-2023 FSC-klagomål mail.docx", "A 59733-2023")</f>
        <v/>
      </c>
      <c r="X3">
        <f>HYPERLINK("https://klasma.github.io/Logging_1281/tillsyn/A 59733-2023 tillsynsbegäran.docx", "A 59733-2023")</f>
        <v/>
      </c>
      <c r="Y3">
        <f>HYPERLINK("https://klasma.github.io/Logging_1281/tillsynsmail/A 59733-2023 tillsynsbegäran mail.docx", "A 59733-2023")</f>
        <v/>
      </c>
    </row>
    <row r="4" ht="15" customHeight="1">
      <c r="A4" t="inlineStr">
        <is>
          <t>A 4816-2025</t>
        </is>
      </c>
      <c r="B4" s="1" t="n">
        <v>45688</v>
      </c>
      <c r="C4" s="1" t="n">
        <v>46204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2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Sydlig sotticka
Guldlockmossa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31764-2023</t>
        </is>
      </c>
      <c r="B5" s="1" t="n">
        <v>45118</v>
      </c>
      <c r="C5" s="1" t="n">
        <v>46204</v>
      </c>
      <c r="D5" t="inlineStr">
        <is>
          <t>SKÅNE LÄN</t>
        </is>
      </c>
      <c r="E5" t="inlineStr">
        <is>
          <t>LUND</t>
        </is>
      </c>
      <c r="F5" t="inlineStr">
        <is>
          <t>Kommuner</t>
        </is>
      </c>
      <c r="G5" t="n">
        <v>1.2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Rosenporing
Sydlig sotticka
Skorpdyna
Vanlig snok</t>
        </is>
      </c>
      <c r="S5">
        <f>HYPERLINK("https://klasma.github.io/Logging_1281/artfynd/A 31764-2023 artfynd.xlsx", "A 31764-2023")</f>
        <v/>
      </c>
      <c r="T5">
        <f>HYPERLINK("https://klasma.github.io/Logging_1281/kartor/A 31764-2023 karta.png", "A 31764-2023")</f>
        <v/>
      </c>
      <c r="V5">
        <f>HYPERLINK("https://klasma.github.io/Logging_1281/klagomål/A 31764-2023 FSC-klagomål.docx", "A 31764-2023")</f>
        <v/>
      </c>
      <c r="W5">
        <f>HYPERLINK("https://klasma.github.io/Logging_1281/klagomålsmail/A 31764-2023 FSC-klagomål mail.docx", "A 31764-2023")</f>
        <v/>
      </c>
      <c r="X5">
        <f>HYPERLINK("https://klasma.github.io/Logging_1281/tillsyn/A 31764-2023 tillsynsbegäran.docx", "A 31764-2023")</f>
        <v/>
      </c>
      <c r="Y5">
        <f>HYPERLINK("https://klasma.github.io/Logging_1281/tillsynsmail/A 31764-2023 tillsynsbegäran mail.docx", "A 31764-2023")</f>
        <v/>
      </c>
    </row>
    <row r="6" ht="15" customHeight="1">
      <c r="A6" t="inlineStr">
        <is>
          <t>A 57726-2024</t>
        </is>
      </c>
      <c r="B6" s="1" t="n">
        <v>45630</v>
      </c>
      <c r="C6" s="1" t="n">
        <v>46204</v>
      </c>
      <c r="D6" t="inlineStr">
        <is>
          <t>SKÅNE LÄN</t>
        </is>
      </c>
      <c r="E6" t="inlineStr">
        <is>
          <t>LUND</t>
        </is>
      </c>
      <c r="G6" t="n">
        <v>11.4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Grönsångare
Mindre hackspett</t>
        </is>
      </c>
      <c r="S6">
        <f>HYPERLINK("https://klasma.github.io/Logging_1281/artfynd/A 57726-2024 artfynd.xlsx", "A 57726-2024")</f>
        <v/>
      </c>
      <c r="T6">
        <f>HYPERLINK("https://klasma.github.io/Logging_1281/kartor/A 57726-2024 karta.png", "A 57726-2024")</f>
        <v/>
      </c>
      <c r="V6">
        <f>HYPERLINK("https://klasma.github.io/Logging_1281/klagomål/A 57726-2024 FSC-klagomål.docx", "A 57726-2024")</f>
        <v/>
      </c>
      <c r="W6">
        <f>HYPERLINK("https://klasma.github.io/Logging_1281/klagomålsmail/A 57726-2024 FSC-klagomål mail.docx", "A 57726-2024")</f>
        <v/>
      </c>
      <c r="X6">
        <f>HYPERLINK("https://klasma.github.io/Logging_1281/tillsyn/A 57726-2024 tillsynsbegäran.docx", "A 57726-2024")</f>
        <v/>
      </c>
      <c r="Y6">
        <f>HYPERLINK("https://klasma.github.io/Logging_1281/tillsynsmail/A 57726-2024 tillsynsbegäran mail.docx", "A 57726-2024")</f>
        <v/>
      </c>
      <c r="Z6">
        <f>HYPERLINK("https://klasma.github.io/Logging_1281/fåglar/A 57726-2024 prioriterade fågelarter.docx", "A 57726-2024")</f>
        <v/>
      </c>
    </row>
    <row r="7" ht="15" customHeight="1">
      <c r="A7" t="inlineStr">
        <is>
          <t>A 72269-2021</t>
        </is>
      </c>
      <c r="B7" s="1" t="n">
        <v>44543</v>
      </c>
      <c r="C7" s="1" t="n">
        <v>46204</v>
      </c>
      <c r="D7" t="inlineStr">
        <is>
          <t>SKÅNE LÄN</t>
        </is>
      </c>
      <c r="E7" t="inlineStr">
        <is>
          <t>LUND</t>
        </is>
      </c>
      <c r="G7" t="n">
        <v>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Stor häxört</t>
        </is>
      </c>
      <c r="S7">
        <f>HYPERLINK("https://klasma.github.io/Logging_1281/artfynd/A 72269-2021 artfynd.xlsx", "A 72269-2021")</f>
        <v/>
      </c>
      <c r="T7">
        <f>HYPERLINK("https://klasma.github.io/Logging_1281/kartor/A 72269-2021 karta.png", "A 72269-2021")</f>
        <v/>
      </c>
      <c r="V7">
        <f>HYPERLINK("https://klasma.github.io/Logging_1281/klagomål/A 72269-2021 FSC-klagomål.docx", "A 72269-2021")</f>
        <v/>
      </c>
      <c r="W7">
        <f>HYPERLINK("https://klasma.github.io/Logging_1281/klagomålsmail/A 72269-2021 FSC-klagomål mail.docx", "A 72269-2021")</f>
        <v/>
      </c>
      <c r="X7">
        <f>HYPERLINK("https://klasma.github.io/Logging_1281/tillsyn/A 72269-2021 tillsynsbegäran.docx", "A 72269-2021")</f>
        <v/>
      </c>
      <c r="Y7">
        <f>HYPERLINK("https://klasma.github.io/Logging_1281/tillsynsmail/A 72269-2021 tillsynsbegäran mail.docx", "A 72269-2021")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46204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46204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55158-2023</t>
        </is>
      </c>
      <c r="B10" s="1" t="n">
        <v>45237</v>
      </c>
      <c r="C10" s="1" t="n">
        <v>46204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HYPERLINK("https://klasma.github.io/Logging_1281/artfynd/A 55158-2023 artfynd.xlsx", "A 55158-2023")</f>
        <v/>
      </c>
      <c r="T10">
        <f>HYPERLINK("https://klasma.github.io/Logging_1281/kartor/A 55158-2023 karta.png", "A 55158-2023")</f>
        <v/>
      </c>
      <c r="V10">
        <f>HYPERLINK("https://klasma.github.io/Logging_1281/klagomål/A 55158-2023 FSC-klagomål.docx", "A 55158-2023")</f>
        <v/>
      </c>
      <c r="W10">
        <f>HYPERLINK("https://klasma.github.io/Logging_1281/klagomålsmail/A 55158-2023 FSC-klagomål mail.docx", "A 55158-2023")</f>
        <v/>
      </c>
      <c r="X10">
        <f>HYPERLINK("https://klasma.github.io/Logging_1281/tillsyn/A 55158-2023 tillsynsbegäran.docx", "A 55158-2023")</f>
        <v/>
      </c>
      <c r="Y10">
        <f>HYPERLINK("https://klasma.github.io/Logging_1281/tillsynsmail/A 55158-2023 tillsynsbegäran mail.docx", "A 55158-2023")</f>
        <v/>
      </c>
    </row>
    <row r="11" ht="15" customHeight="1">
      <c r="A11" t="inlineStr">
        <is>
          <t>A 11732-2024</t>
        </is>
      </c>
      <c r="B11" s="1" t="n">
        <v>45373</v>
      </c>
      <c r="C11" s="1" t="n">
        <v>46204</v>
      </c>
      <c r="D11" t="inlineStr">
        <is>
          <t>SKÅNE LÄN</t>
        </is>
      </c>
      <c r="E11" t="inlineStr">
        <is>
          <t>LUND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HYPERLINK("https://klasma.github.io/Logging_1281/artfynd/A 11732-2024 artfynd.xlsx", "A 11732-2024")</f>
        <v/>
      </c>
      <c r="T11">
        <f>HYPERLINK("https://klasma.github.io/Logging_1281/kartor/A 11732-2024 karta.png", "A 11732-2024")</f>
        <v/>
      </c>
      <c r="V11">
        <f>HYPERLINK("https://klasma.github.io/Logging_1281/klagomål/A 11732-2024 FSC-klagomål.docx", "A 11732-2024")</f>
        <v/>
      </c>
      <c r="W11">
        <f>HYPERLINK("https://klasma.github.io/Logging_1281/klagomålsmail/A 11732-2024 FSC-klagomål mail.docx", "A 11732-2024")</f>
        <v/>
      </c>
      <c r="X11">
        <f>HYPERLINK("https://klasma.github.io/Logging_1281/tillsyn/A 11732-2024 tillsynsbegäran.docx", "A 11732-2024")</f>
        <v/>
      </c>
      <c r="Y11">
        <f>HYPERLINK("https://klasma.github.io/Logging_1281/tillsynsmail/A 11732-2024 tillsynsbegäran mail.docx", "A 11732-2024")</f>
        <v/>
      </c>
    </row>
    <row r="12" ht="15" customHeight="1">
      <c r="A12" t="inlineStr">
        <is>
          <t>A 39260-2025</t>
        </is>
      </c>
      <c r="B12" s="1" t="n">
        <v>45889</v>
      </c>
      <c r="C12" s="1" t="n">
        <v>46204</v>
      </c>
      <c r="D12" t="inlineStr">
        <is>
          <t>SKÅNE LÄN</t>
        </is>
      </c>
      <c r="E12" t="inlineStr">
        <is>
          <t>LUND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HYPERLINK("https://klasma.github.io/Logging_1281/artfynd/A 39260-2025 artfynd.xlsx", "A 39260-2025")</f>
        <v/>
      </c>
      <c r="T12">
        <f>HYPERLINK("https://klasma.github.io/Logging_1281/kartor/A 39260-2025 karta.png", "A 39260-2025")</f>
        <v/>
      </c>
      <c r="V12">
        <f>HYPERLINK("https://klasma.github.io/Logging_1281/klagomål/A 39260-2025 FSC-klagomål.docx", "A 39260-2025")</f>
        <v/>
      </c>
      <c r="W12">
        <f>HYPERLINK("https://klasma.github.io/Logging_1281/klagomålsmail/A 39260-2025 FSC-klagomål mail.docx", "A 39260-2025")</f>
        <v/>
      </c>
      <c r="X12">
        <f>HYPERLINK("https://klasma.github.io/Logging_1281/tillsyn/A 39260-2025 tillsynsbegäran.docx", "A 39260-2025")</f>
        <v/>
      </c>
      <c r="Y12">
        <f>HYPERLINK("https://klasma.github.io/Logging_1281/tillsynsmail/A 39260-2025 tillsynsbegäran mail.docx", "A 39260-2025")</f>
        <v/>
      </c>
    </row>
    <row r="13" ht="15" customHeight="1">
      <c r="A13" t="inlineStr">
        <is>
          <t>A 4746-2025</t>
        </is>
      </c>
      <c r="B13" s="1" t="n">
        <v>45688</v>
      </c>
      <c r="C13" s="1" t="n">
        <v>46204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</row>
    <row r="14" ht="15" customHeight="1">
      <c r="A14" t="inlineStr">
        <is>
          <t>A 34484-2025</t>
        </is>
      </c>
      <c r="B14" s="1" t="n">
        <v>45847</v>
      </c>
      <c r="C14" s="1" t="n">
        <v>46204</v>
      </c>
      <c r="D14" t="inlineStr">
        <is>
          <t>SKÅNE LÄN</t>
        </is>
      </c>
      <c r="E14" t="inlineStr">
        <is>
          <t>LUND</t>
        </is>
      </c>
      <c r="F14" t="inlineStr">
        <is>
          <t>Kommuner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HYPERLINK("https://klasma.github.io/Logging_1281/artfynd/A 34484-2025 artfynd.xlsx", "A 34484-2025")</f>
        <v/>
      </c>
      <c r="T14">
        <f>HYPERLINK("https://klasma.github.io/Logging_1281/kartor/A 34484-2025 karta.png", "A 34484-2025")</f>
        <v/>
      </c>
      <c r="V14">
        <f>HYPERLINK("https://klasma.github.io/Logging_1281/klagomål/A 34484-2025 FSC-klagomål.docx", "A 34484-2025")</f>
        <v/>
      </c>
      <c r="W14">
        <f>HYPERLINK("https://klasma.github.io/Logging_1281/klagomålsmail/A 34484-2025 FSC-klagomål mail.docx", "A 34484-2025")</f>
        <v/>
      </c>
      <c r="X14">
        <f>HYPERLINK("https://klasma.github.io/Logging_1281/tillsyn/A 34484-2025 tillsynsbegäran.docx", "A 34484-2025")</f>
        <v/>
      </c>
      <c r="Y14">
        <f>HYPERLINK("https://klasma.github.io/Logging_1281/tillsynsmail/A 34484-2025 tillsynsbegäran mail.docx", "A 34484-2025")</f>
        <v/>
      </c>
    </row>
    <row r="15" ht="15" customHeight="1">
      <c r="A15" t="inlineStr">
        <is>
          <t>A 29075-2023</t>
        </is>
      </c>
      <c r="B15" s="1" t="n">
        <v>45104</v>
      </c>
      <c r="C15" s="1" t="n">
        <v>46204</v>
      </c>
      <c r="D15" t="inlineStr">
        <is>
          <t>SKÅNE LÄN</t>
        </is>
      </c>
      <c r="E15" t="inlineStr">
        <is>
          <t>LUND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Bokvårtlav</t>
        </is>
      </c>
      <c r="S15">
        <f>HYPERLINK("https://klasma.github.io/Logging_1281/artfynd/A 29075-2023 artfynd.xlsx", "A 29075-2023")</f>
        <v/>
      </c>
      <c r="T15">
        <f>HYPERLINK("https://klasma.github.io/Logging_1281/kartor/A 29075-2023 karta.png", "A 29075-2023")</f>
        <v/>
      </c>
      <c r="V15">
        <f>HYPERLINK("https://klasma.github.io/Logging_1281/klagomål/A 29075-2023 FSC-klagomål.docx", "A 29075-2023")</f>
        <v/>
      </c>
      <c r="W15">
        <f>HYPERLINK("https://klasma.github.io/Logging_1281/klagomålsmail/A 29075-2023 FSC-klagomål mail.docx", "A 29075-2023")</f>
        <v/>
      </c>
      <c r="X15">
        <f>HYPERLINK("https://klasma.github.io/Logging_1281/tillsyn/A 29075-2023 tillsynsbegäran.docx", "A 29075-2023")</f>
        <v/>
      </c>
      <c r="Y15">
        <f>HYPERLINK("https://klasma.github.io/Logging_1281/tillsynsmail/A 29075-2023 tillsynsbegäran mail.docx", "A 29075-2023")</f>
        <v/>
      </c>
    </row>
    <row r="16" ht="15" customHeight="1">
      <c r="A16" t="inlineStr">
        <is>
          <t>A 33985-2021</t>
        </is>
      </c>
      <c r="B16" s="1" t="n">
        <v>44378</v>
      </c>
      <c r="C16" s="1" t="n">
        <v>46204</v>
      </c>
      <c r="D16" t="inlineStr">
        <is>
          <t>SKÅNE LÄN</t>
        </is>
      </c>
      <c r="E16" t="inlineStr">
        <is>
          <t>LUND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HYPERLINK("https://klasma.github.io/Logging_1281/artfynd/A 33985-2021 artfynd.xlsx", "A 33985-2021")</f>
        <v/>
      </c>
      <c r="T16">
        <f>HYPERLINK("https://klasma.github.io/Logging_1281/kartor/A 33985-2021 karta.png", "A 33985-2021")</f>
        <v/>
      </c>
      <c r="V16">
        <f>HYPERLINK("https://klasma.github.io/Logging_1281/klagomål/A 33985-2021 FSC-klagomål.docx", "A 33985-2021")</f>
        <v/>
      </c>
      <c r="W16">
        <f>HYPERLINK("https://klasma.github.io/Logging_1281/klagomålsmail/A 33985-2021 FSC-klagomål mail.docx", "A 33985-2021")</f>
        <v/>
      </c>
      <c r="X16">
        <f>HYPERLINK("https://klasma.github.io/Logging_1281/tillsyn/A 33985-2021 tillsynsbegäran.docx", "A 33985-2021")</f>
        <v/>
      </c>
      <c r="Y16">
        <f>HYPERLINK("https://klasma.github.io/Logging_1281/tillsynsmail/A 33985-2021 tillsynsbegäran mail.docx", "A 33985-2021")</f>
        <v/>
      </c>
    </row>
    <row r="17" ht="15" customHeight="1">
      <c r="A17" t="inlineStr">
        <is>
          <t>A 35443-2021</t>
        </is>
      </c>
      <c r="B17" s="1" t="n">
        <v>44385</v>
      </c>
      <c r="C17" s="1" t="n">
        <v>46204</v>
      </c>
      <c r="D17" t="inlineStr">
        <is>
          <t>SKÅNE LÄN</t>
        </is>
      </c>
      <c r="E17" t="inlineStr">
        <is>
          <t>LUND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Klubbfibbla</t>
        </is>
      </c>
      <c r="S17">
        <f>HYPERLINK("https://klasma.github.io/Logging_1281/artfynd/A 35443-2021 artfynd.xlsx", "A 35443-2021")</f>
        <v/>
      </c>
      <c r="T17">
        <f>HYPERLINK("https://klasma.github.io/Logging_1281/kartor/A 35443-2021 karta.png", "A 35443-2021")</f>
        <v/>
      </c>
      <c r="V17">
        <f>HYPERLINK("https://klasma.github.io/Logging_1281/klagomål/A 35443-2021 FSC-klagomål.docx", "A 35443-2021")</f>
        <v/>
      </c>
      <c r="W17">
        <f>HYPERLINK("https://klasma.github.io/Logging_1281/klagomålsmail/A 35443-2021 FSC-klagomål mail.docx", "A 35443-2021")</f>
        <v/>
      </c>
      <c r="X17">
        <f>HYPERLINK("https://klasma.github.io/Logging_1281/tillsyn/A 35443-2021 tillsynsbegäran.docx", "A 35443-2021")</f>
        <v/>
      </c>
      <c r="Y17">
        <f>HYPERLINK("https://klasma.github.io/Logging_1281/tillsynsmail/A 35443-2021 tillsynsbegäran mail.docx", "A 35443-2021")</f>
        <v/>
      </c>
    </row>
    <row r="18" ht="15" customHeight="1">
      <c r="A18" t="inlineStr">
        <is>
          <t>A 59227-2025</t>
        </is>
      </c>
      <c r="B18" s="1" t="n">
        <v>45988</v>
      </c>
      <c r="C18" s="1" t="n">
        <v>46204</v>
      </c>
      <c r="D18" t="inlineStr">
        <is>
          <t>SKÅNE LÄN</t>
        </is>
      </c>
      <c r="E18" t="inlineStr">
        <is>
          <t>LUND</t>
        </is>
      </c>
      <c r="G18" t="n">
        <v>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Scharlakansskål</t>
        </is>
      </c>
      <c r="S18">
        <f>HYPERLINK("https://klasma.github.io/Logging_1281/artfynd/A 59227-2025 artfynd.xlsx", "A 59227-2025")</f>
        <v/>
      </c>
      <c r="T18">
        <f>HYPERLINK("https://klasma.github.io/Logging_1281/kartor/A 59227-2025 karta.png", "A 59227-2025")</f>
        <v/>
      </c>
      <c r="V18">
        <f>HYPERLINK("https://klasma.github.io/Logging_1281/klagomål/A 59227-2025 FSC-klagomål.docx", "A 59227-2025")</f>
        <v/>
      </c>
      <c r="W18">
        <f>HYPERLINK("https://klasma.github.io/Logging_1281/klagomålsmail/A 59227-2025 FSC-klagomål mail.docx", "A 59227-2025")</f>
        <v/>
      </c>
      <c r="X18">
        <f>HYPERLINK("https://klasma.github.io/Logging_1281/tillsyn/A 59227-2025 tillsynsbegäran.docx", "A 59227-2025")</f>
        <v/>
      </c>
      <c r="Y18">
        <f>HYPERLINK("https://klasma.github.io/Logging_1281/tillsynsmail/A 59227-2025 tillsynsbegäran mail.docx", "A 59227-2025")</f>
        <v/>
      </c>
    </row>
    <row r="19" ht="15" customHeight="1">
      <c r="A19" t="inlineStr">
        <is>
          <t>A 27377-2026</t>
        </is>
      </c>
      <c r="B19" s="1" t="n">
        <v>46189</v>
      </c>
      <c r="C19" s="1" t="n">
        <v>46204</v>
      </c>
      <c r="D19" t="inlineStr">
        <is>
          <t>SKÅNE LÄN</t>
        </is>
      </c>
      <c r="E19" t="inlineStr">
        <is>
          <t>LUND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Ätlig groda</t>
        </is>
      </c>
      <c r="S19">
        <f>HYPERLINK("https://klasma.github.io/Logging_1281/artfynd/A 27377-2026 artfynd.xlsx", "A 27377-2026")</f>
        <v/>
      </c>
      <c r="T19">
        <f>HYPERLINK("https://klasma.github.io/Logging_1281/kartor/A 27377-2026 karta.png", "A 27377-2026")</f>
        <v/>
      </c>
      <c r="V19">
        <f>HYPERLINK("https://klasma.github.io/Logging_1281/klagomål/A 27377-2026 FSC-klagomål.docx", "A 27377-2026")</f>
        <v/>
      </c>
      <c r="W19">
        <f>HYPERLINK("https://klasma.github.io/Logging_1281/klagomålsmail/A 27377-2026 FSC-klagomål mail.docx", "A 27377-2026")</f>
        <v/>
      </c>
      <c r="X19">
        <f>HYPERLINK("https://klasma.github.io/Logging_1281/tillsyn/A 27377-2026 tillsynsbegäran.docx", "A 27377-2026")</f>
        <v/>
      </c>
      <c r="Y19">
        <f>HYPERLINK("https://klasma.github.io/Logging_1281/tillsynsmail/A 27377-2026 tillsynsbegäran mail.docx", "A 27377-2026")</f>
        <v/>
      </c>
    </row>
    <row r="20" ht="15" customHeight="1">
      <c r="A20" t="inlineStr">
        <is>
          <t>A 55145-2023</t>
        </is>
      </c>
      <c r="B20" s="1" t="n">
        <v>45237</v>
      </c>
      <c r="C20" s="1" t="n">
        <v>46204</v>
      </c>
      <c r="D20" t="inlineStr">
        <is>
          <t>SKÅNE LÄN</t>
        </is>
      </c>
      <c r="E20" t="inlineStr">
        <is>
          <t>LUND</t>
        </is>
      </c>
      <c r="F20" t="inlineStr">
        <is>
          <t>Kommuner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HYPERLINK("https://klasma.github.io/Logging_1281/artfynd/A 55145-2023 artfynd.xlsx", "A 55145-2023")</f>
        <v/>
      </c>
      <c r="T20">
        <f>HYPERLINK("https://klasma.github.io/Logging_1281/kartor/A 55145-2023 karta.png", "A 55145-2023")</f>
        <v/>
      </c>
      <c r="V20">
        <f>HYPERLINK("https://klasma.github.io/Logging_1281/klagomål/A 55145-2023 FSC-klagomål.docx", "A 55145-2023")</f>
        <v/>
      </c>
      <c r="W20">
        <f>HYPERLINK("https://klasma.github.io/Logging_1281/klagomålsmail/A 55145-2023 FSC-klagomål mail.docx", "A 55145-2023")</f>
        <v/>
      </c>
      <c r="X20">
        <f>HYPERLINK("https://klasma.github.io/Logging_1281/tillsyn/A 55145-2023 tillsynsbegäran.docx", "A 55145-2023")</f>
        <v/>
      </c>
      <c r="Y20">
        <f>HYPERLINK("https://klasma.github.io/Logging_1281/tillsynsmail/A 55145-2023 tillsynsbegäran mail.docx", "A 55145-2023")</f>
        <v/>
      </c>
    </row>
    <row r="21" ht="15" customHeight="1">
      <c r="A21" t="inlineStr">
        <is>
          <t>A 68005-2021</t>
        </is>
      </c>
      <c r="B21" s="1" t="n">
        <v>44525</v>
      </c>
      <c r="C21" s="1" t="n">
        <v>46204</v>
      </c>
      <c r="D21" t="inlineStr">
        <is>
          <t>SKÅNE LÄN</t>
        </is>
      </c>
      <c r="E21" t="inlineStr">
        <is>
          <t>LUND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5059-2025</t>
        </is>
      </c>
      <c r="B22" s="1" t="n">
        <v>45691</v>
      </c>
      <c r="C22" s="1" t="n">
        <v>46204</v>
      </c>
      <c r="D22" t="inlineStr">
        <is>
          <t>SKÅNE LÄN</t>
        </is>
      </c>
      <c r="E22" t="inlineStr">
        <is>
          <t>LUND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28885-2022</t>
        </is>
      </c>
      <c r="B23" s="1" t="n">
        <v>44749</v>
      </c>
      <c r="C23" s="1" t="n">
        <v>46204</v>
      </c>
      <c r="D23" t="inlineStr">
        <is>
          <t>SKÅNE LÄN</t>
        </is>
      </c>
      <c r="E23" t="inlineStr">
        <is>
          <t>LUND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9889-2026</t>
        </is>
      </c>
      <c r="B24" s="1" t="n">
        <v>46073</v>
      </c>
      <c r="C24" s="1" t="n">
        <v>46204</v>
      </c>
      <c r="D24" t="inlineStr">
        <is>
          <t>SKÅNE LÄN</t>
        </is>
      </c>
      <c r="E24" t="inlineStr">
        <is>
          <t>LUND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4792-2025</t>
        </is>
      </c>
      <c r="B25" s="1" t="n">
        <v>45688</v>
      </c>
      <c r="C25" s="1" t="n">
        <v>46204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</v>
      </c>
      <c r="C26" s="1" t="n">
        <v>46204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45725-2022</t>
        </is>
      </c>
      <c r="B27" s="1" t="n">
        <v>44846</v>
      </c>
      <c r="C27" s="1" t="n">
        <v>46204</v>
      </c>
      <c r="D27" t="inlineStr">
        <is>
          <t>SKÅNE LÄN</t>
        </is>
      </c>
      <c r="E27" t="inlineStr">
        <is>
          <t>LUND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21767-2023</t>
        </is>
      </c>
      <c r="B28" s="1" t="n">
        <v>45065</v>
      </c>
      <c r="C28" s="1" t="n">
        <v>46204</v>
      </c>
      <c r="D28" t="inlineStr">
        <is>
          <t>SKÅNE LÄN</t>
        </is>
      </c>
      <c r="E28" t="inlineStr">
        <is>
          <t>LUND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8601-2023</t>
        </is>
      </c>
      <c r="B29" s="1" t="n">
        <v>44977</v>
      </c>
      <c r="C29" s="1" t="n">
        <v>46204</v>
      </c>
      <c r="D29" t="inlineStr">
        <is>
          <t>SKÅNE LÄN</t>
        </is>
      </c>
      <c r="E29" t="inlineStr">
        <is>
          <t>LUND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58335-2025</t>
        </is>
      </c>
      <c r="B30" s="1" t="n">
        <v>45985</v>
      </c>
      <c r="C30" s="1" t="n">
        <v>46204</v>
      </c>
      <c r="D30" t="inlineStr">
        <is>
          <t>SKÅNE LÄN</t>
        </is>
      </c>
      <c r="E30" t="inlineStr">
        <is>
          <t>LUND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58488-2025</t>
        </is>
      </c>
      <c r="B31" s="1" t="n">
        <v>45985</v>
      </c>
      <c r="C31" s="1" t="n">
        <v>46204</v>
      </c>
      <c r="D31" t="inlineStr">
        <is>
          <t>SKÅNE LÄN</t>
        </is>
      </c>
      <c r="E31" t="inlineStr">
        <is>
          <t>LUND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58337-2025</t>
        </is>
      </c>
      <c r="B32" s="1" t="n">
        <v>45985</v>
      </c>
      <c r="C32" s="1" t="n">
        <v>46204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59206-2025</t>
        </is>
      </c>
      <c r="B33" s="1" t="n">
        <v>45988</v>
      </c>
      <c r="C33" s="1" t="n">
        <v>46204</v>
      </c>
      <c r="D33" t="inlineStr">
        <is>
          <t>SKÅNE LÄN</t>
        </is>
      </c>
      <c r="E33" t="inlineStr">
        <is>
          <t>LUND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17519-2023</t>
        </is>
      </c>
      <c r="B34" s="1" t="n">
        <v>45036</v>
      </c>
      <c r="C34" s="1" t="n">
        <v>46204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16499-2025</t>
        </is>
      </c>
      <c r="B35" s="1" t="n">
        <v>45751</v>
      </c>
      <c r="C35" s="1" t="n">
        <v>46204</v>
      </c>
      <c r="D35" t="inlineStr">
        <is>
          <t>SKÅNE LÄN</t>
        </is>
      </c>
      <c r="E35" t="inlineStr">
        <is>
          <t>LUND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20277-2026</t>
        </is>
      </c>
      <c r="B36" s="1" t="n">
        <v>46139</v>
      </c>
      <c r="C36" s="1" t="n">
        <v>46204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46204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13754-2022</t>
        </is>
      </c>
      <c r="B38" s="1" t="n">
        <v>44649</v>
      </c>
      <c r="C38" s="1" t="n">
        <v>46204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46204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29083-2023</t>
        </is>
      </c>
      <c r="B40" s="1" t="n">
        <v>45105</v>
      </c>
      <c r="C40" s="1" t="n">
        <v>46204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49297-2023</t>
        </is>
      </c>
      <c r="B41" s="1" t="n">
        <v>45210</v>
      </c>
      <c r="C41" s="1" t="n">
        <v>46204</v>
      </c>
      <c r="D41" t="inlineStr">
        <is>
          <t>SKÅNE LÄN</t>
        </is>
      </c>
      <c r="E41" t="inlineStr">
        <is>
          <t>LUND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44646-2023</t>
        </is>
      </c>
      <c r="B42" s="1" t="n">
        <v>45189</v>
      </c>
      <c r="C42" s="1" t="n">
        <v>46204</v>
      </c>
      <c r="D42" t="inlineStr">
        <is>
          <t>SKÅNE LÄN</t>
        </is>
      </c>
      <c r="E42" t="inlineStr">
        <is>
          <t>LUND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20057-2025</t>
        </is>
      </c>
      <c r="B43" s="1" t="n">
        <v>45772</v>
      </c>
      <c r="C43" s="1" t="n">
        <v>46204</v>
      </c>
      <c r="D43" t="inlineStr">
        <is>
          <t>SKÅNE LÄN</t>
        </is>
      </c>
      <c r="E43" t="inlineStr">
        <is>
          <t>LUND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2026-07-01T00:59:25Z</dcterms:created>
  <dcterms:modified xmlns:dcterms="http://purl.org/dc/terms/" xmlns:xsi="http://www.w3.org/2001/XMLSchema-instance" xsi:type="dcterms:W3CDTF">2026-07-01T00:59:26Z</dcterms:modified>
</cp:coreProperties>
</file>