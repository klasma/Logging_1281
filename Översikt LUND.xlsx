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46107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46107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46107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4816-2025</t>
        </is>
      </c>
      <c r="B5" s="1" t="n">
        <v>45688.62052083333</v>
      </c>
      <c r="C5" s="1" t="n">
        <v>46107</v>
      </c>
      <c r="D5" t="inlineStr">
        <is>
          <t>SKÅNE LÄN</t>
        </is>
      </c>
      <c r="E5" t="inlineStr">
        <is>
          <t>LUND</t>
        </is>
      </c>
      <c r="G5" t="n">
        <v>7.7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Sydlig sotticka
Strutbräken</t>
        </is>
      </c>
      <c r="S5">
        <f>HYPERLINK("https://klasma.github.io/Logging_1281/artfynd/A 4816-2025 artfynd.xlsx", "A 4816-2025")</f>
        <v/>
      </c>
      <c r="T5">
        <f>HYPERLINK("https://klasma.github.io/Logging_1281/kartor/A 4816-2025 karta.png", "A 4816-2025")</f>
        <v/>
      </c>
      <c r="V5">
        <f>HYPERLINK("https://klasma.github.io/Logging_1281/klagomål/A 4816-2025 FSC-klagomål.docx", "A 4816-2025")</f>
        <v/>
      </c>
      <c r="W5">
        <f>HYPERLINK("https://klasma.github.io/Logging_1281/klagomålsmail/A 4816-2025 FSC-klagomål mail.docx", "A 4816-2025")</f>
        <v/>
      </c>
      <c r="X5">
        <f>HYPERLINK("https://klasma.github.io/Logging_1281/tillsyn/A 4816-2025 tillsynsbegäran.docx", "A 4816-2025")</f>
        <v/>
      </c>
      <c r="Y5">
        <f>HYPERLINK("https://klasma.github.io/Logging_1281/tillsynsmail/A 4816-2025 tillsynsbegäran mail.docx", "A 4816-2025")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46107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26984-2022</t>
        </is>
      </c>
      <c r="B7" s="1" t="n">
        <v>44740.72620370371</v>
      </c>
      <c r="C7" s="1" t="n">
        <v>46107</v>
      </c>
      <c r="D7" t="inlineStr">
        <is>
          <t>SKÅNE LÄN</t>
        </is>
      </c>
      <c r="E7" t="inlineStr">
        <is>
          <t>LUND</t>
        </is>
      </c>
      <c r="G7" t="n">
        <v>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Lökgroda
Strandpadda</t>
        </is>
      </c>
      <c r="S7">
        <f>HYPERLINK("https://klasma.github.io/Logging_1281/artfynd/A 26984-2022 artfynd.xlsx", "A 26984-2022")</f>
        <v/>
      </c>
      <c r="T7">
        <f>HYPERLINK("https://klasma.github.io/Logging_1281/kartor/A 26984-2022 karta.png", "A 26984-2022")</f>
        <v/>
      </c>
      <c r="V7">
        <f>HYPERLINK("https://klasma.github.io/Logging_1281/klagomål/A 26984-2022 FSC-klagomål.docx", "A 26984-2022")</f>
        <v/>
      </c>
      <c r="W7">
        <f>HYPERLINK("https://klasma.github.io/Logging_1281/klagomålsmail/A 26984-2022 FSC-klagomål mail.docx", "A 26984-2022")</f>
        <v/>
      </c>
      <c r="X7">
        <f>HYPERLINK("https://klasma.github.io/Logging_1281/tillsyn/A 26984-2022 tillsynsbegäran.docx", "A 26984-2022")</f>
        <v/>
      </c>
      <c r="Y7">
        <f>HYPERLINK("https://klasma.github.io/Logging_1281/tillsynsmail/A 26984-2022 tillsynsbegäran mail.docx", "A 26984-2022")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46107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46107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46107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35443-2021</t>
        </is>
      </c>
      <c r="B11" s="1" t="n">
        <v>44385</v>
      </c>
      <c r="C11" s="1" t="n">
        <v>46107</v>
      </c>
      <c r="D11" t="inlineStr">
        <is>
          <t>SKÅNE LÄN</t>
        </is>
      </c>
      <c r="E11" t="inlineStr">
        <is>
          <t>LUND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Klubbfibbla</t>
        </is>
      </c>
      <c r="S11">
        <f>HYPERLINK("https://klasma.github.io/Logging_1281/artfynd/A 35443-2021 artfynd.xlsx", "A 35443-2021")</f>
        <v/>
      </c>
      <c r="T11">
        <f>HYPERLINK("https://klasma.github.io/Logging_1281/kartor/A 35443-2021 karta.png", "A 35443-2021")</f>
        <v/>
      </c>
      <c r="V11">
        <f>HYPERLINK("https://klasma.github.io/Logging_1281/klagomål/A 35443-2021 FSC-klagomål.docx", "A 35443-2021")</f>
        <v/>
      </c>
      <c r="W11">
        <f>HYPERLINK("https://klasma.github.io/Logging_1281/klagomålsmail/A 35443-2021 FSC-klagomål mail.docx", "A 35443-2021")</f>
        <v/>
      </c>
      <c r="X11">
        <f>HYPERLINK("https://klasma.github.io/Logging_1281/tillsyn/A 35443-2021 tillsynsbegäran.docx", "A 35443-2021")</f>
        <v/>
      </c>
      <c r="Y11">
        <f>HYPERLINK("https://klasma.github.io/Logging_1281/tillsynsmail/A 35443-2021 tillsynsbegäran mail.docx", "A 35443-2021")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46107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46107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46107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46107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46107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72269-2021</t>
        </is>
      </c>
      <c r="B17" s="1" t="n">
        <v>44543</v>
      </c>
      <c r="C17" s="1" t="n">
        <v>46107</v>
      </c>
      <c r="D17" t="inlineStr">
        <is>
          <t>SKÅNE LÄN</t>
        </is>
      </c>
      <c r="E17" t="inlineStr">
        <is>
          <t>LUND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HYPERLINK("https://klasma.github.io/Logging_1281/artfynd/A 72269-2021 artfynd.xlsx", "A 72269-2021")</f>
        <v/>
      </c>
      <c r="T17">
        <f>HYPERLINK("https://klasma.github.io/Logging_1281/kartor/A 72269-2021 karta.png", "A 72269-2021")</f>
        <v/>
      </c>
      <c r="V17">
        <f>HYPERLINK("https://klasma.github.io/Logging_1281/klagomål/A 72269-2021 FSC-klagomål.docx", "A 72269-2021")</f>
        <v/>
      </c>
      <c r="W17">
        <f>HYPERLINK("https://klasma.github.io/Logging_1281/klagomålsmail/A 72269-2021 FSC-klagomål mail.docx", "A 72269-2021")</f>
        <v/>
      </c>
      <c r="X17">
        <f>HYPERLINK("https://klasma.github.io/Logging_1281/tillsyn/A 72269-2021 tillsynsbegäran.docx", "A 72269-2021")</f>
        <v/>
      </c>
      <c r="Y17">
        <f>HYPERLINK("https://klasma.github.io/Logging_1281/tillsynsmail/A 72269-2021 tillsynsbegäran mail.docx", "A 72269-2021")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46107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46107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46107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28885-2022</t>
        </is>
      </c>
      <c r="B21" s="1" t="n">
        <v>44749</v>
      </c>
      <c r="C21" s="1" t="n">
        <v>46107</v>
      </c>
      <c r="D21" t="inlineStr">
        <is>
          <t>SKÅNE LÄN</t>
        </is>
      </c>
      <c r="E21" t="inlineStr">
        <is>
          <t>LUND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16499-2025</t>
        </is>
      </c>
      <c r="B22" s="1" t="n">
        <v>45751.60246527778</v>
      </c>
      <c r="C22" s="1" t="n">
        <v>46107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45725-2022</t>
        </is>
      </c>
      <c r="B23" s="1" t="n">
        <v>44846</v>
      </c>
      <c r="C23" s="1" t="n">
        <v>46107</v>
      </c>
      <c r="D23" t="inlineStr">
        <is>
          <t>SKÅNE LÄN</t>
        </is>
      </c>
      <c r="E23" t="inlineStr">
        <is>
          <t>LUND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59733-2023</t>
        </is>
      </c>
      <c r="B24" s="1" t="n">
        <v>45257</v>
      </c>
      <c r="C24" s="1" t="n">
        <v>46107</v>
      </c>
      <c r="D24" t="inlineStr">
        <is>
          <t>SKÅNE LÄN</t>
        </is>
      </c>
      <c r="E24" t="inlineStr">
        <is>
          <t>LUND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46107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46107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46107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46107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44646-2023</t>
        </is>
      </c>
      <c r="B29" s="1" t="n">
        <v>45189</v>
      </c>
      <c r="C29" s="1" t="n">
        <v>46107</v>
      </c>
      <c r="D29" t="inlineStr">
        <is>
          <t>SKÅNE LÄN</t>
        </is>
      </c>
      <c r="E29" t="inlineStr">
        <is>
          <t>LUND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15984-2025</t>
        </is>
      </c>
      <c r="B30" s="1" t="n">
        <v>45749</v>
      </c>
      <c r="C30" s="1" t="n">
        <v>46107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29083-2023</t>
        </is>
      </c>
      <c r="B31" s="1" t="n">
        <v>45105</v>
      </c>
      <c r="C31" s="1" t="n">
        <v>46107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49297-2023</t>
        </is>
      </c>
      <c r="B32" s="1" t="n">
        <v>45210</v>
      </c>
      <c r="C32" s="1" t="n">
        <v>46107</v>
      </c>
      <c r="D32" t="inlineStr">
        <is>
          <t>SKÅNE LÄN</t>
        </is>
      </c>
      <c r="E32" t="inlineStr">
        <is>
          <t>LUND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32972-2024</t>
        </is>
      </c>
      <c r="B33" s="1" t="n">
        <v>45517.42064814815</v>
      </c>
      <c r="C33" s="1" t="n">
        <v>46107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20.7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5059-2025</t>
        </is>
      </c>
      <c r="B34" s="1" t="n">
        <v>45691.47211805556</v>
      </c>
      <c r="C34" s="1" t="n">
        <v>46107</v>
      </c>
      <c r="D34" t="inlineStr">
        <is>
          <t>SKÅNE LÄN</t>
        </is>
      </c>
      <c r="E34" t="inlineStr">
        <is>
          <t>LUND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29075-2023</t>
        </is>
      </c>
      <c r="B35" s="1" t="n">
        <v>45104</v>
      </c>
      <c r="C35" s="1" t="n">
        <v>46107</v>
      </c>
      <c r="D35" t="inlineStr">
        <is>
          <t>SKÅNE LÄN</t>
        </is>
      </c>
      <c r="E35" t="inlineStr">
        <is>
          <t>LUND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17519-2023</t>
        </is>
      </c>
      <c r="B36" s="1" t="n">
        <v>45036</v>
      </c>
      <c r="C36" s="1" t="n">
        <v>46107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46107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46107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58488-2025</t>
        </is>
      </c>
      <c r="B39" s="1" t="n">
        <v>45985.66210648148</v>
      </c>
      <c r="C39" s="1" t="n">
        <v>46107</v>
      </c>
      <c r="D39" t="inlineStr">
        <is>
          <t>SKÅNE LÄN</t>
        </is>
      </c>
      <c r="E39" t="inlineStr">
        <is>
          <t>LUND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58335-2025</t>
        </is>
      </c>
      <c r="B40" s="1" t="n">
        <v>45985.48332175926</v>
      </c>
      <c r="C40" s="1" t="n">
        <v>46107</v>
      </c>
      <c r="D40" t="inlineStr">
        <is>
          <t>SKÅNE LÄN</t>
        </is>
      </c>
      <c r="E40" t="inlineStr">
        <is>
          <t>LUND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46107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20057-2025</t>
        </is>
      </c>
      <c r="B42" s="1" t="n">
        <v>45772</v>
      </c>
      <c r="C42" s="1" t="n">
        <v>46107</v>
      </c>
      <c r="D42" t="inlineStr">
        <is>
          <t>SKÅNE LÄN</t>
        </is>
      </c>
      <c r="E42" t="inlineStr">
        <is>
          <t>LUND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14058-2025</t>
        </is>
      </c>
      <c r="B43" s="1" t="n">
        <v>45740.40390046296</v>
      </c>
      <c r="C43" s="1" t="n">
        <v>46107</v>
      </c>
      <c r="D43" t="inlineStr">
        <is>
          <t>SKÅNE LÄN</t>
        </is>
      </c>
      <c r="E43" t="inlineStr">
        <is>
          <t>LUND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29247-2025</t>
        </is>
      </c>
      <c r="B44" s="1" t="n">
        <v>45824</v>
      </c>
      <c r="C44" s="1" t="n">
        <v>46107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9889-2026</t>
        </is>
      </c>
      <c r="B45" s="1" t="n">
        <v>46073.368125</v>
      </c>
      <c r="C45" s="1" t="n">
        <v>46107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34484-2025</t>
        </is>
      </c>
      <c r="B46" s="1" t="n">
        <v>45847.39517361111</v>
      </c>
      <c r="C46" s="1" t="n">
        <v>46107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8601-2023</t>
        </is>
      </c>
      <c r="B47" s="1" t="n">
        <v>44977</v>
      </c>
      <c r="C47" s="1" t="n">
        <v>46107</v>
      </c>
      <c r="D47" t="inlineStr">
        <is>
          <t>SKÅNE LÄN</t>
        </is>
      </c>
      <c r="E47" t="inlineStr">
        <is>
          <t>LUND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21767-2023</t>
        </is>
      </c>
      <c r="B48" s="1" t="n">
        <v>45065</v>
      </c>
      <c r="C48" s="1" t="n">
        <v>46107</v>
      </c>
      <c r="D48" t="inlineStr">
        <is>
          <t>SKÅNE LÄN</t>
        </is>
      </c>
      <c r="E48" t="inlineStr">
        <is>
          <t>LUND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31773-2023</t>
        </is>
      </c>
      <c r="B49" s="1" t="n">
        <v>45118</v>
      </c>
      <c r="C49" s="1" t="n">
        <v>46107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13754-2022</t>
        </is>
      </c>
      <c r="B50" s="1" t="n">
        <v>44649</v>
      </c>
      <c r="C50" s="1" t="n">
        <v>46107</v>
      </c>
      <c r="D50" t="inlineStr">
        <is>
          <t>SKÅNE LÄN</t>
        </is>
      </c>
      <c r="E50" t="inlineStr">
        <is>
          <t>LUND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2026-03-26T11:47:39Z</dcterms:created>
  <dcterms:modified xmlns:dcterms="http://purl.org/dc/terms/" xmlns:xsi="http://www.w3.org/2001/XMLSchema-instance" xsi:type="dcterms:W3CDTF">2026-03-26T11:47:39Z</dcterms:modified>
</cp:coreProperties>
</file>