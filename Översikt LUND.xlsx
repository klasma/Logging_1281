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46081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46081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46081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46081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46081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46081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46081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46081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4746-2025</t>
        </is>
      </c>
      <c r="B10" s="1" t="n">
        <v>45688.46011574074</v>
      </c>
      <c r="C10" s="1" t="n">
        <v>46081</v>
      </c>
      <c r="D10" t="inlineStr">
        <is>
          <t>SKÅNE LÄN</t>
        </is>
      </c>
      <c r="E10" t="inlineStr">
        <is>
          <t>LUND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HYPERLINK("https://klasma.github.io/Logging_1281/artfynd/A 4746-2025 artfynd.xlsx", "A 4746-2025")</f>
        <v/>
      </c>
      <c r="T10">
        <f>HYPERLINK("https://klasma.github.io/Logging_1281/kartor/A 4746-2025 karta.png", "A 4746-2025")</f>
        <v/>
      </c>
      <c r="V10">
        <f>HYPERLINK("https://klasma.github.io/Logging_1281/klagomål/A 4746-2025 FSC-klagomål.docx", "A 4746-2025")</f>
        <v/>
      </c>
      <c r="W10">
        <f>HYPERLINK("https://klasma.github.io/Logging_1281/klagomålsmail/A 4746-2025 FSC-klagomål mail.docx", "A 4746-2025")</f>
        <v/>
      </c>
      <c r="X10">
        <f>HYPERLINK("https://klasma.github.io/Logging_1281/tillsyn/A 4746-2025 tillsynsbegäran.docx", "A 4746-2025")</f>
        <v/>
      </c>
      <c r="Y10">
        <f>HYPERLINK("https://klasma.github.io/Logging_1281/tillsynsmail/A 4746-2025 tillsynsbegäran mail.docx", "A 4746-2025")</f>
        <v/>
      </c>
      <c r="Z10">
        <f>HYPERLINK("https://klasma.github.io/Logging_1281/fåglar/A 4746-2025 prioriterade fågelarter.docx", "A 4746-2025")</f>
        <v/>
      </c>
    </row>
    <row r="11" ht="15" customHeight="1">
      <c r="A11" t="inlineStr">
        <is>
          <t>A 4816-2025</t>
        </is>
      </c>
      <c r="B11" s="1" t="n">
        <v>45688.62052083333</v>
      </c>
      <c r="C11" s="1" t="n">
        <v>46081</v>
      </c>
      <c r="D11" t="inlineStr">
        <is>
          <t>SKÅNE LÄN</t>
        </is>
      </c>
      <c r="E11" t="inlineStr">
        <is>
          <t>LUND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HYPERLINK("https://klasma.github.io/Logging_1281/artfynd/A 4816-2025 artfynd.xlsx", "A 4816-2025")</f>
        <v/>
      </c>
      <c r="T11">
        <f>HYPERLINK("https://klasma.github.io/Logging_1281/kartor/A 4816-2025 karta.png", "A 4816-2025")</f>
        <v/>
      </c>
      <c r="V11">
        <f>HYPERLINK("https://klasma.github.io/Logging_1281/klagomål/A 4816-2025 FSC-klagomål.docx", "A 4816-2025")</f>
        <v/>
      </c>
      <c r="W11">
        <f>HYPERLINK("https://klasma.github.io/Logging_1281/klagomålsmail/A 4816-2025 FSC-klagomål mail.docx", "A 4816-2025")</f>
        <v/>
      </c>
      <c r="X11">
        <f>HYPERLINK("https://klasma.github.io/Logging_1281/tillsyn/A 4816-2025 tillsynsbegäran.docx", "A 4816-2025")</f>
        <v/>
      </c>
      <c r="Y11">
        <f>HYPERLINK("https://klasma.github.io/Logging_1281/tillsynsmail/A 4816-2025 tillsynsbegäran mail.docx", "A 4816-2025")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46081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46081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46081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46081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46081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46081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46081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46081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46081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46081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46081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46081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46081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6034-2025</t>
        </is>
      </c>
      <c r="B25" s="1" t="n">
        <v>45695.64231481482</v>
      </c>
      <c r="C25" s="1" t="n">
        <v>46081</v>
      </c>
      <c r="D25" t="inlineStr">
        <is>
          <t>SKÅNE LÄN</t>
        </is>
      </c>
      <c r="E25" t="inlineStr">
        <is>
          <t>LUND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46081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29075-2023</t>
        </is>
      </c>
      <c r="B27" s="1" t="n">
        <v>45104</v>
      </c>
      <c r="C27" s="1" t="n">
        <v>46081</v>
      </c>
      <c r="D27" t="inlineStr">
        <is>
          <t>SKÅNE LÄN</t>
        </is>
      </c>
      <c r="E27" t="inlineStr">
        <is>
          <t>LUND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46081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46081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46081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46081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46081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46081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46081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58337-2025</t>
        </is>
      </c>
      <c r="B35" s="1" t="n">
        <v>45985.48895833334</v>
      </c>
      <c r="C35" s="1" t="n">
        <v>46081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58488-2025</t>
        </is>
      </c>
      <c r="B36" s="1" t="n">
        <v>45985.66210648148</v>
      </c>
      <c r="C36" s="1" t="n">
        <v>46081</v>
      </c>
      <c r="D36" t="inlineStr">
        <is>
          <t>SKÅNE LÄN</t>
        </is>
      </c>
      <c r="E36" t="inlineStr">
        <is>
          <t>LUND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58335-2025</t>
        </is>
      </c>
      <c r="B37" s="1" t="n">
        <v>45985.48332175926</v>
      </c>
      <c r="C37" s="1" t="n">
        <v>46081</v>
      </c>
      <c r="D37" t="inlineStr">
        <is>
          <t>SKÅNE LÄN</t>
        </is>
      </c>
      <c r="E37" t="inlineStr">
        <is>
          <t>LUND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31773-2023</t>
        </is>
      </c>
      <c r="B38" s="1" t="n">
        <v>45118</v>
      </c>
      <c r="C38" s="1" t="n">
        <v>46081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13754-2022</t>
        </is>
      </c>
      <c r="B39" s="1" t="n">
        <v>44649</v>
      </c>
      <c r="C39" s="1" t="n">
        <v>46081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46081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46081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46081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46081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46081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9889-2026</t>
        </is>
      </c>
      <c r="B45" s="1" t="n">
        <v>46073.368125</v>
      </c>
      <c r="C45" s="1" t="n">
        <v>46081</v>
      </c>
      <c r="D45" t="inlineStr">
        <is>
          <t>SKÅNE LÄN</t>
        </is>
      </c>
      <c r="E45" t="inlineStr">
        <is>
          <t>LUND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46081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46081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46081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46081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46081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2026-02-28T11:08:49Z</dcterms:created>
  <dcterms:modified xmlns:dcterms="http://purl.org/dc/terms/" xmlns:xsi="http://www.w3.org/2001/XMLSchema-instance" xsi:type="dcterms:W3CDTF">2026-02-28T11:08:49Z</dcterms:modified>
</cp:coreProperties>
</file>