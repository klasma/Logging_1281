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46279</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46279</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46279</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4816-2025</t>
        </is>
      </c>
      <c r="B5" t="inlineStr">
        <is>
          <t>avverkningsanmälan</t>
        </is>
      </c>
      <c r="C5" t="inlineStr">
        <is>
          <t>Föryngringsavverkning</t>
        </is>
      </c>
      <c r="D5" s="1" t="n">
        <v>45688</v>
      </c>
      <c r="E5" s="1" t="n">
        <v>46279</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46279</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46279</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46279</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46279</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46279</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46279</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46279</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46279</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46279</v>
      </c>
      <c r="F14" t="inlineStr">
        <is>
          <t>SKÅNE LÄN</t>
        </is>
      </c>
      <c r="G14" t="inlineStr">
        <is>
          <t>LUND</t>
        </is>
      </c>
      <c r="I14" t="n">
        <v>2.5</v>
      </c>
      <c r="J14" t="n">
        <v>0</v>
      </c>
      <c r="K14" t="n">
        <v>0</v>
      </c>
      <c r="L14" t="n">
        <v>0</v>
      </c>
      <c r="M14" t="n">
        <v>0</v>
      </c>
      <c r="N14" t="n">
        <v>1</v>
      </c>
      <c r="O14" t="n">
        <v>0</v>
      </c>
      <c r="P14" t="n">
        <v>0</v>
      </c>
      <c r="Q14" t="n">
        <v>1</v>
      </c>
      <c r="R14" t="n">
        <v>1</v>
      </c>
      <c r="S14" t="n">
        <v>1</v>
      </c>
      <c r="T14" t="n">
        <v>3</v>
      </c>
      <c r="U14" t="n">
        <v>0</v>
      </c>
      <c r="V14" s="2" t="inlineStr">
        <is>
          <t>Skogsalm</t>
        </is>
      </c>
      <c r="W14">
        <f>HYPERLINK("https://klasma.github.io/Logging_1281/artfynd/A 52355-2021 artfynd.xlsx", "A 52355-2021")</f>
        <v/>
      </c>
      <c r="X14">
        <f>HYPERLINK("https://klasma.github.io/Logging_1281/kartor/A 52355-2021 karta.png", "A 52355-2021")</f>
        <v/>
      </c>
      <c r="Y14">
        <f>HYPERLINK("https://klasma.github.io/Logging_1281/kartor_geotiff/A 52355-2021 georefererad karta.tif", "A 52355-2021")</f>
        <v/>
      </c>
      <c r="AA14">
        <f>HYPERLINK("https://klasma.github.io/Logging_1281/klagomål/A 52355-2021 FSC-klagomål.docx", "A 52355-2021")</f>
        <v/>
      </c>
      <c r="AB14">
        <f>HYPERLINK("https://klasma.github.io/Logging_1281/klagomålsmail/A 52355-2021 FSC-klagomål mail.docx", "A 52355-2021")</f>
        <v/>
      </c>
      <c r="AC14">
        <f>HYPERLINK("https://klasma.github.io/Logging_1281/tillsyn/A 52355-2021 tillsynsbegäran.docx", "A 52355-2021")</f>
        <v/>
      </c>
      <c r="AD14">
        <f>HYPERLINK("https://klasma.github.io/Logging_1281/tillsynsmail/A 52355-2021 tillsynsbegäran mail.docx", "A 52355-2021")</f>
        <v/>
      </c>
    </row>
    <row r="15" ht="15" customHeight="1">
      <c r="A15" t="inlineStr">
        <is>
          <t>A 29075-2023</t>
        </is>
      </c>
      <c r="B15" t="inlineStr">
        <is>
          <t>avverkningsanmälan</t>
        </is>
      </c>
      <c r="C15" t="inlineStr">
        <is>
          <t>Föryngringsavverkning</t>
        </is>
      </c>
      <c r="D15" s="1" t="n">
        <v>45104</v>
      </c>
      <c r="E15" s="1" t="n">
        <v>46279</v>
      </c>
      <c r="F15" t="inlineStr">
        <is>
          <t>SKÅNE LÄN</t>
        </is>
      </c>
      <c r="G15" t="inlineStr">
        <is>
          <t>LUND</t>
        </is>
      </c>
      <c r="I15" t="n">
        <v>0.7</v>
      </c>
      <c r="J15" t="n">
        <v>0</v>
      </c>
      <c r="K15" t="n">
        <v>0</v>
      </c>
      <c r="L15" t="n">
        <v>1</v>
      </c>
      <c r="M15" t="n">
        <v>0</v>
      </c>
      <c r="N15" t="n">
        <v>0</v>
      </c>
      <c r="O15" t="n">
        <v>0</v>
      </c>
      <c r="P15" t="n">
        <v>0</v>
      </c>
      <c r="Q15" t="n">
        <v>1</v>
      </c>
      <c r="R15" t="n">
        <v>0</v>
      </c>
      <c r="S15" t="n">
        <v>1</v>
      </c>
      <c r="T15" t="n">
        <v>1</v>
      </c>
      <c r="U15" t="n">
        <v>1</v>
      </c>
      <c r="V15" s="2" t="inlineStr">
        <is>
          <t>Bokvårtlav</t>
        </is>
      </c>
      <c r="W15">
        <f>HYPERLINK("https://klasma.github.io/Logging_1281/artfynd/A 29075-2023 artfynd.xlsx", "A 29075-2023")</f>
        <v/>
      </c>
      <c r="X15">
        <f>HYPERLINK("https://klasma.github.io/Logging_1281/kartor/A 29075-2023 karta.png", "A 29075-2023")</f>
        <v/>
      </c>
      <c r="Y15">
        <f>HYPERLINK("https://klasma.github.io/Logging_1281/kartor_geotiff/A 29075-2023 georefererad karta.tif", "A 29075-2023")</f>
        <v/>
      </c>
      <c r="AA15">
        <f>HYPERLINK("https://klasma.github.io/Logging_1281/klagomål/A 29075-2023 FSC-klagomål.docx", "A 29075-2023")</f>
        <v/>
      </c>
      <c r="AB15">
        <f>HYPERLINK("https://klasma.github.io/Logging_1281/klagomålsmail/A 29075-2023 FSC-klagomål mail.docx", "A 29075-2023")</f>
        <v/>
      </c>
      <c r="AC15">
        <f>HYPERLINK("https://klasma.github.io/Logging_1281/tillsyn/A 29075-2023 tillsynsbegäran.docx", "A 29075-2023")</f>
        <v/>
      </c>
      <c r="AD15">
        <f>HYPERLINK("https://klasma.github.io/Logging_1281/tillsynsmail/A 29075-2023 tillsynsbegäran mail.docx", "A 29075-2023")</f>
        <v/>
      </c>
    </row>
    <row r="16" ht="15" customHeight="1">
      <c r="A16" t="inlineStr">
        <is>
          <t>A 39260-2025</t>
        </is>
      </c>
      <c r="B16" t="inlineStr">
        <is>
          <t>avverkningsanmälan</t>
        </is>
      </c>
      <c r="C16" t="inlineStr">
        <is>
          <t>Föryngringsavverkning</t>
        </is>
      </c>
      <c r="D16" s="1" t="n">
        <v>45889</v>
      </c>
      <c r="E16" s="1" t="n">
        <v>46279</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4746-2025</t>
        </is>
      </c>
      <c r="B17" t="inlineStr">
        <is>
          <t>avverkningsanmälan</t>
        </is>
      </c>
      <c r="C17" t="inlineStr">
        <is>
          <t>Föryngringsavverkning</t>
        </is>
      </c>
      <c r="D17" s="1" t="n">
        <v>45688</v>
      </c>
      <c r="E17" s="1" t="n">
        <v>46279</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55145-2023</t>
        </is>
      </c>
      <c r="B18" t="inlineStr">
        <is>
          <t>avverkningsanmälan</t>
        </is>
      </c>
      <c r="C18" t="inlineStr">
        <is>
          <t>Avverkning för att bevara och utveckla /försöksver</t>
        </is>
      </c>
      <c r="D18" s="1" t="n">
        <v>45237</v>
      </c>
      <c r="E18" s="1" t="n">
        <v>46279</v>
      </c>
      <c r="F18" t="inlineStr">
        <is>
          <t>SKÅNE LÄN</t>
        </is>
      </c>
      <c r="G18" t="inlineStr">
        <is>
          <t>LUND</t>
        </is>
      </c>
      <c r="H18" t="inlineStr">
        <is>
          <t>Kommuner</t>
        </is>
      </c>
      <c r="I18" t="n">
        <v>4.5</v>
      </c>
      <c r="J18" t="n">
        <v>0</v>
      </c>
      <c r="K18" t="n">
        <v>1</v>
      </c>
      <c r="L18" t="n">
        <v>0</v>
      </c>
      <c r="M18" t="n">
        <v>0</v>
      </c>
      <c r="N18" t="n">
        <v>0</v>
      </c>
      <c r="O18" t="n">
        <v>0</v>
      </c>
      <c r="P18" t="n">
        <v>0</v>
      </c>
      <c r="Q18" t="n">
        <v>0</v>
      </c>
      <c r="R18" t="n">
        <v>0</v>
      </c>
      <c r="S18" t="n">
        <v>1</v>
      </c>
      <c r="T18" t="n">
        <v>1</v>
      </c>
      <c r="U18" t="n">
        <v>1</v>
      </c>
      <c r="V18" s="2" t="inlineStr">
        <is>
          <t>Grovticka</t>
        </is>
      </c>
      <c r="W18">
        <f>HYPERLINK("https://klasma.github.io/Logging_1281/artfynd/A 55145-2023 artfynd.xlsx", "A 55145-2023")</f>
        <v/>
      </c>
      <c r="X18">
        <f>HYPERLINK("https://klasma.github.io/Logging_1281/kartor/A 55145-2023 karta.png", "A 55145-2023")</f>
        <v/>
      </c>
      <c r="Y18">
        <f>HYPERLINK("https://klasma.github.io/Logging_1281/kartor_geotiff/A 55145-2023 georefererad karta.tif", "A 55145-2023")</f>
        <v/>
      </c>
      <c r="AA18">
        <f>HYPERLINK("https://klasma.github.io/Logging_1281/klagomål/A 55145-2023 FSC-klagomål.docx", "A 55145-2023")</f>
        <v/>
      </c>
      <c r="AB18">
        <f>HYPERLINK("https://klasma.github.io/Logging_1281/klagomålsmail/A 55145-2023 FSC-klagomål mail.docx", "A 55145-2023")</f>
        <v/>
      </c>
      <c r="AC18">
        <f>HYPERLINK("https://klasma.github.io/Logging_1281/tillsyn/A 55145-2023 tillsynsbegäran.docx", "A 55145-2023")</f>
        <v/>
      </c>
      <c r="AD18">
        <f>HYPERLINK("https://klasma.github.io/Logging_1281/tillsynsmail/A 55145-2023 tillsynsbegäran mail.docx", "A 55145-2023")</f>
        <v/>
      </c>
    </row>
    <row r="19" ht="15" customHeight="1">
      <c r="A19" t="inlineStr">
        <is>
          <t>A 59227-2025</t>
        </is>
      </c>
      <c r="B19" t="inlineStr">
        <is>
          <t>avverkningsanmälan</t>
        </is>
      </c>
      <c r="C19" t="inlineStr">
        <is>
          <t>Föryngringsavverkning</t>
        </is>
      </c>
      <c r="D19" s="1" t="n">
        <v>45988</v>
      </c>
      <c r="E19" s="1" t="n">
        <v>46279</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55158-2023</t>
        </is>
      </c>
      <c r="B20" t="inlineStr">
        <is>
          <t>avverkningsanmälan</t>
        </is>
      </c>
      <c r="C20" t="inlineStr">
        <is>
          <t>Föryngringsavverkning</t>
        </is>
      </c>
      <c r="D20" s="1" t="n">
        <v>45237</v>
      </c>
      <c r="E20" s="1" t="n">
        <v>46279</v>
      </c>
      <c r="F20" t="inlineStr">
        <is>
          <t>SKÅNE LÄN</t>
        </is>
      </c>
      <c r="G20" t="inlineStr">
        <is>
          <t>LUND</t>
        </is>
      </c>
      <c r="H20" t="inlineStr">
        <is>
          <t>Kommuner</t>
        </is>
      </c>
      <c r="I20" t="n">
        <v>0.7</v>
      </c>
      <c r="J20" t="n">
        <v>0</v>
      </c>
      <c r="K20" t="n">
        <v>0</v>
      </c>
      <c r="L20" t="n">
        <v>1</v>
      </c>
      <c r="M20" t="n">
        <v>0</v>
      </c>
      <c r="N20" t="n">
        <v>0</v>
      </c>
      <c r="O20" t="n">
        <v>0</v>
      </c>
      <c r="P20" t="n">
        <v>0</v>
      </c>
      <c r="Q20" t="n">
        <v>1</v>
      </c>
      <c r="R20" t="n">
        <v>0</v>
      </c>
      <c r="S20" t="n">
        <v>1</v>
      </c>
      <c r="T20" t="n">
        <v>2</v>
      </c>
      <c r="U20" t="n">
        <v>0</v>
      </c>
      <c r="V20" s="2" t="inlineStr">
        <is>
          <t>Backtimjan</t>
        </is>
      </c>
      <c r="W20">
        <f>HYPERLINK("https://klasma.github.io/Logging_1281/artfynd/A 55158-2023 artfynd.xlsx", "A 55158-2023")</f>
        <v/>
      </c>
      <c r="X20">
        <f>HYPERLINK("https://klasma.github.io/Logging_1281/kartor/A 55158-2023 karta.png", "A 55158-2023")</f>
        <v/>
      </c>
      <c r="Y20">
        <f>HYPERLINK("https://klasma.github.io/Logging_1281/kartor_geotiff/A 55158-2023 georefererad karta.tif", "A 55158-2023")</f>
        <v/>
      </c>
      <c r="AA20">
        <f>HYPERLINK("https://klasma.github.io/Logging_1281/klagomål/A 55158-2023 FSC-klagomål.docx", "A 55158-2023")</f>
        <v/>
      </c>
      <c r="AB20">
        <f>HYPERLINK("https://klasma.github.io/Logging_1281/klagomålsmail/A 55158-2023 FSC-klagomål mail.docx", "A 55158-2023")</f>
        <v/>
      </c>
      <c r="AC20">
        <f>HYPERLINK("https://klasma.github.io/Logging_1281/tillsyn/A 55158-2023 tillsynsbegäran.docx", "A 55158-2023")</f>
        <v/>
      </c>
      <c r="AD20">
        <f>HYPERLINK("https://klasma.github.io/Logging_1281/tillsynsmail/A 55158-2023 tillsynsbegäran mail.docx", "A 55158-2023")</f>
        <v/>
      </c>
    </row>
    <row r="21" ht="15" customHeight="1">
      <c r="A21" t="inlineStr">
        <is>
          <t>A 27377-2026</t>
        </is>
      </c>
      <c r="B21" t="inlineStr">
        <is>
          <t>avverkningsanmälan</t>
        </is>
      </c>
      <c r="C21" t="inlineStr">
        <is>
          <t>Föryngringsavverkning</t>
        </is>
      </c>
      <c r="D21" s="1" t="n">
        <v>46189</v>
      </c>
      <c r="E21" s="1" t="n">
        <v>46279</v>
      </c>
      <c r="F21" t="inlineStr">
        <is>
          <t>SKÅNE LÄN</t>
        </is>
      </c>
      <c r="G21" t="inlineStr">
        <is>
          <t>LUND</t>
        </is>
      </c>
      <c r="I21" t="n">
        <v>0.7</v>
      </c>
      <c r="J21" t="n">
        <v>1</v>
      </c>
      <c r="K21" t="n">
        <v>0</v>
      </c>
      <c r="L21" t="n">
        <v>0</v>
      </c>
      <c r="M21" t="n">
        <v>0</v>
      </c>
      <c r="N21" t="n">
        <v>0</v>
      </c>
      <c r="O21" t="n">
        <v>0</v>
      </c>
      <c r="P21" t="n">
        <v>0</v>
      </c>
      <c r="Q21" t="n">
        <v>0</v>
      </c>
      <c r="R21" t="n">
        <v>0</v>
      </c>
      <c r="S21" t="n">
        <v>1</v>
      </c>
      <c r="T21" t="n">
        <v>1</v>
      </c>
      <c r="U21" t="n">
        <v>0</v>
      </c>
      <c r="V21" s="2" t="inlineStr">
        <is>
          <t>Ätlig groda</t>
        </is>
      </c>
      <c r="W21">
        <f>HYPERLINK("https://klasma.github.io/Logging_1281/artfynd/A 27377-2026 artfynd.xlsx", "A 27377-2026")</f>
        <v/>
      </c>
      <c r="X21">
        <f>HYPERLINK("https://klasma.github.io/Logging_1281/kartor/A 27377-2026 karta.png", "A 27377-2026")</f>
        <v/>
      </c>
      <c r="Y21">
        <f>HYPERLINK("https://klasma.github.io/Logging_1281/kartor_geotiff/A 27377-2026 georefererad karta.tif", "A 27377-2026")</f>
        <v/>
      </c>
      <c r="AA21">
        <f>HYPERLINK("https://klasma.github.io/Logging_1281/klagomål/A 27377-2026 FSC-klagomål.docx", "A 27377-2026")</f>
        <v/>
      </c>
      <c r="AB21">
        <f>HYPERLINK("https://klasma.github.io/Logging_1281/klagomålsmail/A 27377-2026 FSC-klagomål mail.docx", "A 27377-2026")</f>
        <v/>
      </c>
      <c r="AC21">
        <f>HYPERLINK("https://klasma.github.io/Logging_1281/tillsyn/A 27377-2026 tillsynsbegäran.docx", "A 27377-2026")</f>
        <v/>
      </c>
      <c r="AD21">
        <f>HYPERLINK("https://klasma.github.io/Logging_1281/tillsynsmail/A 27377-2026 tillsynsbegäran mail.docx", "A 27377-2026")</f>
        <v/>
      </c>
    </row>
    <row r="22" ht="15" customHeight="1">
      <c r="A22" t="inlineStr">
        <is>
          <t>A 11732-2024</t>
        </is>
      </c>
      <c r="B22" t="inlineStr">
        <is>
          <t>avverkningsanmälan</t>
        </is>
      </c>
      <c r="C22" t="inlineStr">
        <is>
          <t>Föryngringsavverkning</t>
        </is>
      </c>
      <c r="D22" s="1" t="n">
        <v>45373</v>
      </c>
      <c r="E22" s="1" t="n">
        <v>46279</v>
      </c>
      <c r="F22" t="inlineStr">
        <is>
          <t>SKÅNE LÄN</t>
        </is>
      </c>
      <c r="G22" t="inlineStr">
        <is>
          <t>LUND</t>
        </is>
      </c>
      <c r="I22" t="n">
        <v>2.8</v>
      </c>
      <c r="J22" t="n">
        <v>1</v>
      </c>
      <c r="K22" t="n">
        <v>0</v>
      </c>
      <c r="L22" t="n">
        <v>0</v>
      </c>
      <c r="M22" t="n">
        <v>0</v>
      </c>
      <c r="N22" t="n">
        <v>1</v>
      </c>
      <c r="O22" t="n">
        <v>0</v>
      </c>
      <c r="P22" t="n">
        <v>0</v>
      </c>
      <c r="Q22" t="n">
        <v>1</v>
      </c>
      <c r="R22" t="n">
        <v>1</v>
      </c>
      <c r="S22" t="n">
        <v>1</v>
      </c>
      <c r="T22" t="n">
        <v>2</v>
      </c>
      <c r="U22" t="n">
        <v>2</v>
      </c>
      <c r="V22" s="2" t="inlineStr">
        <is>
          <t>Dvärgjohannesört</t>
        </is>
      </c>
      <c r="W22">
        <f>HYPERLINK("https://klasma.github.io/Logging_1281/artfynd/A 11732-2024 artfynd.xlsx", "A 11732-2024")</f>
        <v/>
      </c>
      <c r="X22">
        <f>HYPERLINK("https://klasma.github.io/Logging_1281/kartor/A 11732-2024 karta.png", "A 11732-2024")</f>
        <v/>
      </c>
      <c r="Y22">
        <f>HYPERLINK("https://klasma.github.io/Logging_1281/kartor_geotiff/A 11732-2024 georefererad karta.tif", "A 11732-2024")</f>
        <v/>
      </c>
      <c r="AA22">
        <f>HYPERLINK("https://klasma.github.io/Logging_1281/klagomål/A 11732-2024 FSC-klagomål.docx", "A 11732-2024")</f>
        <v/>
      </c>
      <c r="AB22">
        <f>HYPERLINK("https://klasma.github.io/Logging_1281/klagomålsmail/A 11732-2024 FSC-klagomål mail.docx", "A 11732-2024")</f>
        <v/>
      </c>
      <c r="AC22">
        <f>HYPERLINK("https://klasma.github.io/Logging_1281/tillsyn/A 11732-2024 tillsynsbegäran.docx", "A 11732-2024")</f>
        <v/>
      </c>
      <c r="AD22">
        <f>HYPERLINK("https://klasma.github.io/Logging_1281/tillsynsmail/A 11732-2024 tillsynsbegäran mail.docx", "A 11732-2024")</f>
        <v/>
      </c>
    </row>
    <row r="23" ht="15" customHeight="1">
      <c r="A23" t="inlineStr">
        <is>
          <t>S 2231-2022</t>
        </is>
      </c>
      <c r="B23" t="inlineStr">
        <is>
          <t>samrådsanmälan</t>
        </is>
      </c>
      <c r="C23" t="inlineStr">
        <is>
          <t>Åtgärd i nyckelbiotop</t>
        </is>
      </c>
      <c r="D23" s="1" t="n">
        <v>44679</v>
      </c>
      <c r="E23" s="1" t="n">
        <v>46279</v>
      </c>
      <c r="F23" t="inlineStr">
        <is>
          <t>SKÅNE LÄN</t>
        </is>
      </c>
      <c r="G23" t="inlineStr">
        <is>
          <t>LUND</t>
        </is>
      </c>
      <c r="I23" t="n">
        <v>0.2</v>
      </c>
      <c r="J23" t="n">
        <v>0</v>
      </c>
      <c r="K23" t="n">
        <v>0</v>
      </c>
      <c r="L23" t="n">
        <v>0</v>
      </c>
      <c r="M23" t="n">
        <v>1</v>
      </c>
      <c r="N23" t="n">
        <v>0</v>
      </c>
      <c r="O23" t="n">
        <v>0</v>
      </c>
      <c r="P23" t="n">
        <v>0</v>
      </c>
      <c r="Q23" t="n">
        <v>1</v>
      </c>
      <c r="R23" t="n">
        <v>1</v>
      </c>
      <c r="S23" t="n">
        <v>1</v>
      </c>
      <c r="T23" t="n">
        <v>1</v>
      </c>
      <c r="U23" t="n">
        <v>0</v>
      </c>
      <c r="V23" s="2" t="inlineStr">
        <is>
          <t>Bokblombock</t>
        </is>
      </c>
      <c r="W23">
        <f>HYPERLINK("https://klasma.github.io/Logging_1281/artfynd/S 2231-2022 artfynd.xlsx", "S 2231-2022")</f>
        <v/>
      </c>
      <c r="X23">
        <f>HYPERLINK("https://klasma.github.io/Logging_1281/kartor/S 2231-2022 karta.png", "S 2231-2022")</f>
        <v/>
      </c>
      <c r="Y23">
        <f>HYPERLINK("https://klasma.github.io/Logging_1281/kartor_geotiff/S 2231-2022 georefererad karta.tif", "S 2231-2022")</f>
        <v/>
      </c>
      <c r="AA23">
        <f>HYPERLINK("https://klasma.github.io/Logging_1281/klagomål/S 2231-2022 FSC-klagomål.docx", "S 2231-2022")</f>
        <v/>
      </c>
      <c r="AB23">
        <f>HYPERLINK("https://klasma.github.io/Logging_1281/klagomålsmail/S 2231-2022 FSC-klagomål mail.docx", "S 2231-2022")</f>
        <v/>
      </c>
      <c r="AC23">
        <f>HYPERLINK("https://klasma.github.io/Logging_1281/tillsyn/S 2231-2022 tillsynsbegäran.docx", "S 2231-2022")</f>
        <v/>
      </c>
      <c r="AD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46279</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45725-2022</t>
        </is>
      </c>
      <c r="B25" t="inlineStr">
        <is>
          <t>avverkningsanmälan</t>
        </is>
      </c>
      <c r="C25" t="inlineStr">
        <is>
          <t>Föryngringsavverkning</t>
        </is>
      </c>
      <c r="D25" s="1" t="n">
        <v>44846</v>
      </c>
      <c r="E25" s="1" t="n">
        <v>46279</v>
      </c>
      <c r="F25" t="inlineStr">
        <is>
          <t>SKÅNE LÄN</t>
        </is>
      </c>
      <c r="G25" t="inlineStr">
        <is>
          <t>LUND</t>
        </is>
      </c>
      <c r="I25" t="n">
        <v>1.2</v>
      </c>
      <c r="J25" t="n">
        <v>0</v>
      </c>
      <c r="K25" t="n">
        <v>0</v>
      </c>
      <c r="L25" t="n">
        <v>0</v>
      </c>
      <c r="M25" t="n">
        <v>0</v>
      </c>
      <c r="N25" t="n">
        <v>0</v>
      </c>
      <c r="O25" t="n">
        <v>0</v>
      </c>
      <c r="P25" t="n">
        <v>0</v>
      </c>
      <c r="Q25" t="n">
        <v>0</v>
      </c>
      <c r="R25" t="n">
        <v>0</v>
      </c>
      <c r="S25" t="n">
        <v>0</v>
      </c>
      <c r="T25" t="n">
        <v>0</v>
      </c>
      <c r="U25" t="n">
        <v>0</v>
      </c>
      <c r="V25" s="2" t="inlineStr"/>
    </row>
    <row r="26" ht="15" customHeight="1">
      <c r="A26" t="inlineStr">
        <is>
          <t>A 32972-2024</t>
        </is>
      </c>
      <c r="B26" t="inlineStr">
        <is>
          <t>avverkningsanmälan</t>
        </is>
      </c>
      <c r="C26" t="inlineStr">
        <is>
          <t>Föryngringsavverkning</t>
        </is>
      </c>
      <c r="D26" s="1" t="n">
        <v>45517</v>
      </c>
      <c r="E26" s="1" t="n">
        <v>46279</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t="n">
        <v>0</v>
      </c>
      <c r="V26" s="2" t="inlineStr"/>
    </row>
    <row r="27" ht="15" customHeight="1">
      <c r="A27" t="inlineStr">
        <is>
          <t>A 5059-2025</t>
        </is>
      </c>
      <c r="B27" t="inlineStr">
        <is>
          <t>avverkningsanmälan</t>
        </is>
      </c>
      <c r="C27" t="inlineStr">
        <is>
          <t>Föryngringsavverkning</t>
        </is>
      </c>
      <c r="D27" s="1" t="n">
        <v>45691</v>
      </c>
      <c r="E27" s="1" t="n">
        <v>46279</v>
      </c>
      <c r="F27" t="inlineStr">
        <is>
          <t>SKÅNE LÄN</t>
        </is>
      </c>
      <c r="G27" t="inlineStr">
        <is>
          <t>LUND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59918-2022</t>
        </is>
      </c>
      <c r="B28" t="inlineStr">
        <is>
          <t>avverkningsanmälan</t>
        </is>
      </c>
      <c r="C28" t="inlineStr">
        <is>
          <t>Föryngringsavverkning</t>
        </is>
      </c>
      <c r="D28" s="1" t="n">
        <v>44909</v>
      </c>
      <c r="E28" s="1" t="n">
        <v>46279</v>
      </c>
      <c r="F28" t="inlineStr">
        <is>
          <t>SKÅNE LÄN</t>
        </is>
      </c>
      <c r="G28" t="inlineStr">
        <is>
          <t>LUND</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9889-2026</t>
        </is>
      </c>
      <c r="B29" t="inlineStr">
        <is>
          <t>avverkningsanmälan</t>
        </is>
      </c>
      <c r="C29" t="inlineStr">
        <is>
          <t>Föryngringsavverkning</t>
        </is>
      </c>
      <c r="D29" s="1" t="n">
        <v>46073</v>
      </c>
      <c r="E29" s="1" t="n">
        <v>46279</v>
      </c>
      <c r="F29" t="inlineStr">
        <is>
          <t>SKÅNE LÄN</t>
        </is>
      </c>
      <c r="G29" t="inlineStr">
        <is>
          <t>LUND</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58337-2025</t>
        </is>
      </c>
      <c r="B30" t="inlineStr">
        <is>
          <t>avverkningsanmälan</t>
        </is>
      </c>
      <c r="C30" t="inlineStr">
        <is>
          <t>Föryngringsavverkning</t>
        </is>
      </c>
      <c r="D30" s="1" t="n">
        <v>45985</v>
      </c>
      <c r="E30" s="1" t="n">
        <v>46279</v>
      </c>
      <c r="F30" t="inlineStr">
        <is>
          <t>SKÅNE LÄN</t>
        </is>
      </c>
      <c r="G30" t="inlineStr">
        <is>
          <t>LUND</t>
        </is>
      </c>
      <c r="I30" t="n">
        <v>2</v>
      </c>
      <c r="J30" t="n">
        <v>0</v>
      </c>
      <c r="K30" t="n">
        <v>0</v>
      </c>
      <c r="L30" t="n">
        <v>0</v>
      </c>
      <c r="M30" t="n">
        <v>0</v>
      </c>
      <c r="N30" t="n">
        <v>0</v>
      </c>
      <c r="O30" t="n">
        <v>0</v>
      </c>
      <c r="P30" t="n">
        <v>0</v>
      </c>
      <c r="Q30" t="n">
        <v>0</v>
      </c>
      <c r="R30" t="n">
        <v>0</v>
      </c>
      <c r="S30" t="n">
        <v>0</v>
      </c>
      <c r="T30" t="n">
        <v>0</v>
      </c>
      <c r="U30" t="n">
        <v>0</v>
      </c>
      <c r="V30" s="2" t="inlineStr"/>
    </row>
    <row r="31" ht="15" customHeight="1">
      <c r="A31" t="inlineStr">
        <is>
          <t>A 58335-2025</t>
        </is>
      </c>
      <c r="B31" t="inlineStr">
        <is>
          <t>avverkningsanmälan</t>
        </is>
      </c>
      <c r="C31" t="inlineStr">
        <is>
          <t>Föryngringsavverkning</t>
        </is>
      </c>
      <c r="D31" s="1" t="n">
        <v>45985</v>
      </c>
      <c r="E31" s="1" t="n">
        <v>46279</v>
      </c>
      <c r="F31" t="inlineStr">
        <is>
          <t>SKÅNE LÄN</t>
        </is>
      </c>
      <c r="G31" t="inlineStr">
        <is>
          <t>LUND</t>
        </is>
      </c>
      <c r="I31" t="n">
        <v>2.5</v>
      </c>
      <c r="J31" t="n">
        <v>0</v>
      </c>
      <c r="K31" t="n">
        <v>0</v>
      </c>
      <c r="L31" t="n">
        <v>0</v>
      </c>
      <c r="M31" t="n">
        <v>0</v>
      </c>
      <c r="N31" t="n">
        <v>0</v>
      </c>
      <c r="O31" t="n">
        <v>0</v>
      </c>
      <c r="P31" t="n">
        <v>0</v>
      </c>
      <c r="Q31" t="n">
        <v>0</v>
      </c>
      <c r="R31" t="n">
        <v>0</v>
      </c>
      <c r="S31" t="n">
        <v>0</v>
      </c>
      <c r="T31" t="n">
        <v>0</v>
      </c>
      <c r="U31" t="n">
        <v>0</v>
      </c>
      <c r="V31" s="2" t="inlineStr"/>
    </row>
    <row r="32" ht="15" customHeight="1">
      <c r="A32" t="inlineStr">
        <is>
          <t>A 21767-2023</t>
        </is>
      </c>
      <c r="B32" t="inlineStr">
        <is>
          <t>avverkningsanmälan</t>
        </is>
      </c>
      <c r="C32" t="inlineStr">
        <is>
          <t>Föryngringsavverkning</t>
        </is>
      </c>
      <c r="D32" s="1" t="n">
        <v>45065</v>
      </c>
      <c r="E32" s="1" t="n">
        <v>46279</v>
      </c>
      <c r="F32" t="inlineStr">
        <is>
          <t>SKÅNE LÄN</t>
        </is>
      </c>
      <c r="G32" t="inlineStr">
        <is>
          <t>LUND</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20277-2026</t>
        </is>
      </c>
      <c r="B33" t="inlineStr">
        <is>
          <t>avverkningsanmälan</t>
        </is>
      </c>
      <c r="C33" t="inlineStr">
        <is>
          <t>Föryngringsavverkning</t>
        </is>
      </c>
      <c r="D33" s="1" t="n">
        <v>46139</v>
      </c>
      <c r="E33" s="1" t="n">
        <v>46279</v>
      </c>
      <c r="F33" t="inlineStr">
        <is>
          <t>SKÅNE LÄN</t>
        </is>
      </c>
      <c r="G33" t="inlineStr">
        <is>
          <t>LUND</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31773-2023</t>
        </is>
      </c>
      <c r="B34" t="inlineStr">
        <is>
          <t>avverkningsanmälan</t>
        </is>
      </c>
      <c r="C34" t="inlineStr">
        <is>
          <t>Föryngringsavverkning</t>
        </is>
      </c>
      <c r="D34" s="1" t="n">
        <v>45118</v>
      </c>
      <c r="E34" s="1" t="n">
        <v>46279</v>
      </c>
      <c r="F34" t="inlineStr">
        <is>
          <t>SKÅNE LÄN</t>
        </is>
      </c>
      <c r="G34" t="inlineStr">
        <is>
          <t>LUND</t>
        </is>
      </c>
      <c r="H34" t="inlineStr">
        <is>
          <t>Kommuner</t>
        </is>
      </c>
      <c r="I34" t="n">
        <v>0.8</v>
      </c>
      <c r="J34" t="n">
        <v>0</v>
      </c>
      <c r="K34" t="n">
        <v>0</v>
      </c>
      <c r="L34" t="n">
        <v>0</v>
      </c>
      <c r="M34" t="n">
        <v>0</v>
      </c>
      <c r="N34" t="n">
        <v>0</v>
      </c>
      <c r="O34" t="n">
        <v>0</v>
      </c>
      <c r="P34" t="n">
        <v>0</v>
      </c>
      <c r="Q34" t="n">
        <v>0</v>
      </c>
      <c r="R34" t="n">
        <v>0</v>
      </c>
      <c r="S34" t="n">
        <v>0</v>
      </c>
      <c r="T34" t="n">
        <v>0</v>
      </c>
      <c r="U34" t="n">
        <v>0</v>
      </c>
      <c r="V34" s="2" t="inlineStr"/>
    </row>
    <row r="35" ht="15" customHeight="1">
      <c r="A35" t="inlineStr">
        <is>
          <t>A 13754-2022</t>
        </is>
      </c>
      <c r="B35" t="inlineStr">
        <is>
          <t>avverkningsanmälan</t>
        </is>
      </c>
      <c r="C35" t="inlineStr">
        <is>
          <t>Föryngringsavverkning</t>
        </is>
      </c>
      <c r="D35" s="1" t="n">
        <v>44649</v>
      </c>
      <c r="E35" s="1" t="n">
        <v>46279</v>
      </c>
      <c r="F35" t="inlineStr">
        <is>
          <t>SKÅNE LÄN</t>
        </is>
      </c>
      <c r="G35" t="inlineStr">
        <is>
          <t>LUND</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28885-2022</t>
        </is>
      </c>
      <c r="B36" t="inlineStr">
        <is>
          <t>avverkningsanmälan</t>
        </is>
      </c>
      <c r="C36" t="inlineStr">
        <is>
          <t>Föryngringsavverkning</t>
        </is>
      </c>
      <c r="D36" s="1" t="n">
        <v>44749</v>
      </c>
      <c r="E36" s="1" t="n">
        <v>46279</v>
      </c>
      <c r="F36" t="inlineStr">
        <is>
          <t>SKÅNE LÄN</t>
        </is>
      </c>
      <c r="G36" t="inlineStr">
        <is>
          <t>LUND</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16499-2025</t>
        </is>
      </c>
      <c r="B37" t="inlineStr">
        <is>
          <t>avverkningsanmälan</t>
        </is>
      </c>
      <c r="C37" t="inlineStr">
        <is>
          <t>Föryngringsavverkning</t>
        </is>
      </c>
      <c r="D37" s="1" t="n">
        <v>45751</v>
      </c>
      <c r="E37" s="1" t="n">
        <v>46279</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33019-2026</t>
        </is>
      </c>
      <c r="B38" t="inlineStr">
        <is>
          <t>avverkningsanmälan</t>
        </is>
      </c>
      <c r="C38" t="inlineStr">
        <is>
          <t>Föryngringsavverkning</t>
        </is>
      </c>
      <c r="D38" s="1" t="n">
        <v>46244</v>
      </c>
      <c r="E38" s="1" t="n">
        <v>46279</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44646-2023</t>
        </is>
      </c>
      <c r="B39" t="inlineStr">
        <is>
          <t>avverkningsanmälan</t>
        </is>
      </c>
      <c r="C39" t="inlineStr">
        <is>
          <t>Föryngringsavverkning</t>
        </is>
      </c>
      <c r="D39" s="1" t="n">
        <v>45189</v>
      </c>
      <c r="E39" s="1" t="n">
        <v>46279</v>
      </c>
      <c r="F39" t="inlineStr">
        <is>
          <t>SKÅNE LÄN</t>
        </is>
      </c>
      <c r="G39" t="inlineStr">
        <is>
          <t>LUND</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29083-2023</t>
        </is>
      </c>
      <c r="B40" t="inlineStr">
        <is>
          <t>avverkningsanmälan</t>
        </is>
      </c>
      <c r="C40" t="inlineStr">
        <is>
          <t>Föryngringsavverkning</t>
        </is>
      </c>
      <c r="D40" s="1" t="n">
        <v>45105</v>
      </c>
      <c r="E40" s="1" t="n">
        <v>46279</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30506-2026</t>
        </is>
      </c>
      <c r="B41" t="inlineStr">
        <is>
          <t>avverkningsanmälan</t>
        </is>
      </c>
      <c r="C41" t="inlineStr">
        <is>
          <t>Föryngringsavverkning</t>
        </is>
      </c>
      <c r="D41" s="1" t="n">
        <v>46210</v>
      </c>
      <c r="E41" s="1" t="n">
        <v>46279</v>
      </c>
      <c r="F41" t="inlineStr">
        <is>
          <t>SKÅNE LÄN</t>
        </is>
      </c>
      <c r="G41" t="inlineStr">
        <is>
          <t>LUND</t>
        </is>
      </c>
      <c r="H41" t="inlineStr">
        <is>
          <t>Kommuner</t>
        </is>
      </c>
      <c r="I41" t="n">
        <v>6.6</v>
      </c>
      <c r="J41" t="n">
        <v>0</v>
      </c>
      <c r="K41" t="n">
        <v>0</v>
      </c>
      <c r="L41" t="n">
        <v>0</v>
      </c>
      <c r="M41" t="n">
        <v>0</v>
      </c>
      <c r="N41" t="n">
        <v>0</v>
      </c>
      <c r="O41" t="n">
        <v>0</v>
      </c>
      <c r="P41" t="n">
        <v>0</v>
      </c>
      <c r="Q41" t="n">
        <v>0</v>
      </c>
      <c r="R41" t="n">
        <v>0</v>
      </c>
      <c r="S41" t="n">
        <v>0</v>
      </c>
      <c r="T41" t="n">
        <v>0</v>
      </c>
      <c r="U41" t="n">
        <v>0</v>
      </c>
      <c r="V41" s="2" t="inlineStr"/>
    </row>
    <row r="42" ht="15" customHeight="1">
      <c r="A42" t="inlineStr">
        <is>
          <t>A 49297-2023</t>
        </is>
      </c>
      <c r="B42" t="inlineStr">
        <is>
          <t>avverkningsanmälan</t>
        </is>
      </c>
      <c r="C42" t="inlineStr">
        <is>
          <t>Föryngringsavverkning</t>
        </is>
      </c>
      <c r="D42" s="1" t="n">
        <v>45210</v>
      </c>
      <c r="E42" s="1" t="n">
        <v>46279</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17519-2023</t>
        </is>
      </c>
      <c r="B43" t="inlineStr">
        <is>
          <t>avverkningsanmälan</t>
        </is>
      </c>
      <c r="C43" t="inlineStr">
        <is>
          <t>Avverkning för annat ändamål</t>
        </is>
      </c>
      <c r="D43" s="1" t="n">
        <v>45036</v>
      </c>
      <c r="E43" s="1" t="n">
        <v>46279</v>
      </c>
      <c r="F43" t="inlineStr">
        <is>
          <t>SKÅNE LÄN</t>
        </is>
      </c>
      <c r="G43" t="inlineStr">
        <is>
          <t>LUND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S 311-2025</t>
        </is>
      </c>
      <c r="B44" t="inlineStr">
        <is>
          <t>samrådsanmälan</t>
        </is>
      </c>
      <c r="C44" t="inlineStr">
        <is>
          <t>Askåterföring</t>
        </is>
      </c>
      <c r="D44" s="1" t="n">
        <v>45688</v>
      </c>
      <c r="E44" s="1" t="n">
        <v>46279</v>
      </c>
      <c r="F44" t="inlineStr">
        <is>
          <t>SKÅNE LÄN</t>
        </is>
      </c>
      <c r="G44" t="inlineStr">
        <is>
          <t>LUND</t>
        </is>
      </c>
      <c r="I44" t="n">
        <v>40.1</v>
      </c>
      <c r="J44" t="n">
        <v>0</v>
      </c>
      <c r="K44" t="n">
        <v>0</v>
      </c>
      <c r="L44" t="n">
        <v>0</v>
      </c>
      <c r="M44" t="n">
        <v>0</v>
      </c>
      <c r="N44" t="n">
        <v>0</v>
      </c>
      <c r="O44" t="n">
        <v>0</v>
      </c>
      <c r="P44" t="n">
        <v>0</v>
      </c>
      <c r="Q44" t="n">
        <v>0</v>
      </c>
      <c r="R44" t="n">
        <v>0</v>
      </c>
      <c r="S44" t="n">
        <v>0</v>
      </c>
      <c r="T44" t="n">
        <v>0</v>
      </c>
      <c r="U44" t="n">
        <v>0</v>
      </c>
      <c r="V44" s="2" t="inlineStr"/>
    </row>
    <row r="45">
      <c r="A45" t="inlineStr">
        <is>
          <t>S 1991-2026</t>
        </is>
      </c>
      <c r="B45" t="inlineStr">
        <is>
          <t>samrådsanmälan</t>
        </is>
      </c>
      <c r="C45" t="inlineStr">
        <is>
          <t>Askåterföring</t>
        </is>
      </c>
      <c r="D45" s="1" t="n">
        <v>46213</v>
      </c>
      <c r="E45" s="1" t="n">
        <v>46279</v>
      </c>
      <c r="F45" t="inlineStr">
        <is>
          <t>SKÅNE LÄN</t>
        </is>
      </c>
      <c r="G45" t="inlineStr">
        <is>
          <t>LUND</t>
        </is>
      </c>
      <c r="I45" t="n">
        <v>10.2</v>
      </c>
      <c r="J45" t="n">
        <v>0</v>
      </c>
      <c r="K45" t="n">
        <v>0</v>
      </c>
      <c r="L45" t="n">
        <v>0</v>
      </c>
      <c r="M45" t="n">
        <v>0</v>
      </c>
      <c r="N45" t="n">
        <v>0</v>
      </c>
      <c r="O45" t="n">
        <v>0</v>
      </c>
      <c r="P45" t="n">
        <v>0</v>
      </c>
      <c r="Q45" t="n">
        <v>0</v>
      </c>
      <c r="R45" t="n">
        <v>0</v>
      </c>
      <c r="S45" t="n">
        <v>0</v>
      </c>
      <c r="T45" t="n">
        <v>0</v>
      </c>
      <c r="U45" t="n">
        <v>0</v>
      </c>
      <c r="V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2026-09-14T02:18:28Z</dcterms:created>
  <dcterms:modified xmlns:dcterms="http://purl.org/dc/terms/" xmlns:xsi="http://www.w3.org/2001/XMLSchema-instance" xsi:type="dcterms:W3CDTF">2026-09-14T02:18:28Z</dcterms:modified>
</cp:coreProperties>
</file>