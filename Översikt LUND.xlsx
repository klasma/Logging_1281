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46277</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46277</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46277</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46277</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46277</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46277</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46277</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46277</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46277</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46277</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46277</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46277</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46277</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29075-2023</t>
        </is>
      </c>
      <c r="B15" t="inlineStr">
        <is>
          <t>avverkningsanmälan</t>
        </is>
      </c>
      <c r="C15" t="inlineStr">
        <is>
          <t>Föryngringsavverkning</t>
        </is>
      </c>
      <c r="D15" s="1" t="n">
        <v>45104</v>
      </c>
      <c r="E15" s="1" t="n">
        <v>46277</v>
      </c>
      <c r="F15" t="inlineStr">
        <is>
          <t>SKÅNE LÄN</t>
        </is>
      </c>
      <c r="G15" t="inlineStr">
        <is>
          <t>LUND</t>
        </is>
      </c>
      <c r="I15" t="n">
        <v>0.7</v>
      </c>
      <c r="J15" t="n">
        <v>0</v>
      </c>
      <c r="K15" t="n">
        <v>0</v>
      </c>
      <c r="L15" t="n">
        <v>1</v>
      </c>
      <c r="M15" t="n">
        <v>0</v>
      </c>
      <c r="N15" t="n">
        <v>0</v>
      </c>
      <c r="O15" t="n">
        <v>0</v>
      </c>
      <c r="P15" t="n">
        <v>0</v>
      </c>
      <c r="Q15" t="n">
        <v>1</v>
      </c>
      <c r="R15" t="n">
        <v>0</v>
      </c>
      <c r="S15" t="n">
        <v>1</v>
      </c>
      <c r="T15" t="n">
        <v>1</v>
      </c>
      <c r="U15" t="n">
        <v>1</v>
      </c>
      <c r="V15" s="2" t="inlineStr">
        <is>
          <t>Bokvårtlav</t>
        </is>
      </c>
      <c r="W15">
        <f>HYPERLINK("https://klasma.github.io/Logging_1281/artfynd/A 29075-2023 artfynd.xlsx", "A 29075-2023")</f>
        <v/>
      </c>
      <c r="X15">
        <f>HYPERLINK("https://klasma.github.io/Logging_1281/kartor/A 29075-2023 karta.png", "A 29075-2023")</f>
        <v/>
      </c>
      <c r="Y15">
        <f>HYPERLINK("https://klasma.github.io/Logging_1281/kartor_geotiff/A 29075-2023 georefererad karta.tif", "A 29075-2023")</f>
        <v/>
      </c>
      <c r="AA15">
        <f>HYPERLINK("https://klasma.github.io/Logging_1281/klagomål/A 29075-2023 FSC-klagomål.docx", "A 29075-2023")</f>
        <v/>
      </c>
      <c r="AB15">
        <f>HYPERLINK("https://klasma.github.io/Logging_1281/klagomålsmail/A 29075-2023 FSC-klagomål mail.docx", "A 29075-2023")</f>
        <v/>
      </c>
      <c r="AC15">
        <f>HYPERLINK("https://klasma.github.io/Logging_1281/tillsyn/A 29075-2023 tillsynsbegäran.docx", "A 29075-2023")</f>
        <v/>
      </c>
      <c r="AD15">
        <f>HYPERLINK("https://klasma.github.io/Logging_1281/tillsynsmail/A 29075-2023 tillsynsbegäran mail.docx", "A 29075-2023")</f>
        <v/>
      </c>
    </row>
    <row r="16" ht="15" customHeight="1">
      <c r="A16" t="inlineStr">
        <is>
          <t>A 39260-2025</t>
        </is>
      </c>
      <c r="B16" t="inlineStr">
        <is>
          <t>avverkningsanmälan</t>
        </is>
      </c>
      <c r="C16" t="inlineStr">
        <is>
          <t>Föryngringsavverkning</t>
        </is>
      </c>
      <c r="D16" s="1" t="n">
        <v>45889</v>
      </c>
      <c r="E16" s="1" t="n">
        <v>46277</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4746-2025</t>
        </is>
      </c>
      <c r="B17" t="inlineStr">
        <is>
          <t>avverkningsanmälan</t>
        </is>
      </c>
      <c r="C17" t="inlineStr">
        <is>
          <t>Föryngringsavverkning</t>
        </is>
      </c>
      <c r="D17" s="1" t="n">
        <v>45688</v>
      </c>
      <c r="E17" s="1" t="n">
        <v>46277</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55145-2023</t>
        </is>
      </c>
      <c r="B18" t="inlineStr">
        <is>
          <t>avverkningsanmälan</t>
        </is>
      </c>
      <c r="C18" t="inlineStr">
        <is>
          <t>Avverkning för att bevara och utveckla /försöksver</t>
        </is>
      </c>
      <c r="D18" s="1" t="n">
        <v>45237</v>
      </c>
      <c r="E18" s="1" t="n">
        <v>46277</v>
      </c>
      <c r="F18" t="inlineStr">
        <is>
          <t>SKÅNE LÄN</t>
        </is>
      </c>
      <c r="G18" t="inlineStr">
        <is>
          <t>LUND</t>
        </is>
      </c>
      <c r="H18" t="inlineStr">
        <is>
          <t>Kommuner</t>
        </is>
      </c>
      <c r="I18" t="n">
        <v>4.5</v>
      </c>
      <c r="J18" t="n">
        <v>0</v>
      </c>
      <c r="K18" t="n">
        <v>1</v>
      </c>
      <c r="L18" t="n">
        <v>0</v>
      </c>
      <c r="M18" t="n">
        <v>0</v>
      </c>
      <c r="N18" t="n">
        <v>0</v>
      </c>
      <c r="O18" t="n">
        <v>0</v>
      </c>
      <c r="P18" t="n">
        <v>0</v>
      </c>
      <c r="Q18" t="n">
        <v>0</v>
      </c>
      <c r="R18" t="n">
        <v>0</v>
      </c>
      <c r="S18" t="n">
        <v>1</v>
      </c>
      <c r="T18" t="n">
        <v>1</v>
      </c>
      <c r="U18" t="n">
        <v>1</v>
      </c>
      <c r="V18" s="2" t="inlineStr">
        <is>
          <t>Grovticka</t>
        </is>
      </c>
      <c r="W18">
        <f>HYPERLINK("https://klasma.github.io/Logging_1281/artfynd/A 55145-2023 artfynd.xlsx", "A 55145-2023")</f>
        <v/>
      </c>
      <c r="X18">
        <f>HYPERLINK("https://klasma.github.io/Logging_1281/kartor/A 55145-2023 karta.png", "A 55145-2023")</f>
        <v/>
      </c>
      <c r="Y18">
        <f>HYPERLINK("https://klasma.github.io/Logging_1281/kartor_geotiff/A 55145-2023 georefererad karta.tif", "A 55145-2023")</f>
        <v/>
      </c>
      <c r="AA18">
        <f>HYPERLINK("https://klasma.github.io/Logging_1281/klagomål/A 55145-2023 FSC-klagomål.docx", "A 55145-2023")</f>
        <v/>
      </c>
      <c r="AB18">
        <f>HYPERLINK("https://klasma.github.io/Logging_1281/klagomålsmail/A 55145-2023 FSC-klagomål mail.docx", "A 55145-2023")</f>
        <v/>
      </c>
      <c r="AC18">
        <f>HYPERLINK("https://klasma.github.io/Logging_1281/tillsyn/A 55145-2023 tillsynsbegäran.docx", "A 55145-2023")</f>
        <v/>
      </c>
      <c r="AD18">
        <f>HYPERLINK("https://klasma.github.io/Logging_1281/tillsynsmail/A 55145-2023 tillsynsbegäran mail.docx", "A 55145-2023")</f>
        <v/>
      </c>
    </row>
    <row r="19" ht="15" customHeight="1">
      <c r="A19" t="inlineStr">
        <is>
          <t>A 59227-2025</t>
        </is>
      </c>
      <c r="B19" t="inlineStr">
        <is>
          <t>avverkningsanmälan</t>
        </is>
      </c>
      <c r="C19" t="inlineStr">
        <is>
          <t>Föryngringsavverkning</t>
        </is>
      </c>
      <c r="D19" s="1" t="n">
        <v>45988</v>
      </c>
      <c r="E19" s="1" t="n">
        <v>46277</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55158-2023</t>
        </is>
      </c>
      <c r="B20" t="inlineStr">
        <is>
          <t>avverkningsanmälan</t>
        </is>
      </c>
      <c r="C20" t="inlineStr">
        <is>
          <t>Föryngringsavverkning</t>
        </is>
      </c>
      <c r="D20" s="1" t="n">
        <v>45237</v>
      </c>
      <c r="E20" s="1" t="n">
        <v>46277</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27377-2026</t>
        </is>
      </c>
      <c r="B21" t="inlineStr">
        <is>
          <t>avverkningsanmälan</t>
        </is>
      </c>
      <c r="C21" t="inlineStr">
        <is>
          <t>Föryngringsavverkning</t>
        </is>
      </c>
      <c r="D21" s="1" t="n">
        <v>46189</v>
      </c>
      <c r="E21" s="1" t="n">
        <v>46277</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A 11732-2024</t>
        </is>
      </c>
      <c r="B22" t="inlineStr">
        <is>
          <t>avverkningsanmälan</t>
        </is>
      </c>
      <c r="C22" t="inlineStr">
        <is>
          <t>Föryngringsavverkning</t>
        </is>
      </c>
      <c r="D22" s="1" t="n">
        <v>45373</v>
      </c>
      <c r="E22" s="1" t="n">
        <v>46277</v>
      </c>
      <c r="F22" t="inlineStr">
        <is>
          <t>SKÅNE LÄN</t>
        </is>
      </c>
      <c r="G22" t="inlineStr">
        <is>
          <t>LUND</t>
        </is>
      </c>
      <c r="I22" t="n">
        <v>2.8</v>
      </c>
      <c r="J22" t="n">
        <v>1</v>
      </c>
      <c r="K22" t="n">
        <v>0</v>
      </c>
      <c r="L22" t="n">
        <v>0</v>
      </c>
      <c r="M22" t="n">
        <v>0</v>
      </c>
      <c r="N22" t="n">
        <v>1</v>
      </c>
      <c r="O22" t="n">
        <v>0</v>
      </c>
      <c r="P22" t="n">
        <v>0</v>
      </c>
      <c r="Q22" t="n">
        <v>1</v>
      </c>
      <c r="R22" t="n">
        <v>1</v>
      </c>
      <c r="S22" t="n">
        <v>1</v>
      </c>
      <c r="T22" t="n">
        <v>2</v>
      </c>
      <c r="U22" t="n">
        <v>2</v>
      </c>
      <c r="V22" s="2" t="inlineStr">
        <is>
          <t>Dvärgjohannesört</t>
        </is>
      </c>
      <c r="W22">
        <f>HYPERLINK("https://klasma.github.io/Logging_1281/artfynd/A 11732-2024 artfynd.xlsx", "A 11732-2024")</f>
        <v/>
      </c>
      <c r="X22">
        <f>HYPERLINK("https://klasma.github.io/Logging_1281/kartor/A 11732-2024 karta.png", "A 11732-2024")</f>
        <v/>
      </c>
      <c r="Y22">
        <f>HYPERLINK("https://klasma.github.io/Logging_1281/kartor_geotiff/A 11732-2024 georefererad karta.tif", "A 11732-2024")</f>
        <v/>
      </c>
      <c r="AA22">
        <f>HYPERLINK("https://klasma.github.io/Logging_1281/klagomål/A 11732-2024 FSC-klagomål.docx", "A 11732-2024")</f>
        <v/>
      </c>
      <c r="AB22">
        <f>HYPERLINK("https://klasma.github.io/Logging_1281/klagomålsmail/A 11732-2024 FSC-klagomål mail.docx", "A 11732-2024")</f>
        <v/>
      </c>
      <c r="AC22">
        <f>HYPERLINK("https://klasma.github.io/Logging_1281/tillsyn/A 11732-2024 tillsynsbegäran.docx", "A 11732-2024")</f>
        <v/>
      </c>
      <c r="AD22">
        <f>HYPERLINK("https://klasma.github.io/Logging_1281/tillsynsmail/A 11732-2024 tillsynsbegäran mail.docx", "A 11732-2024")</f>
        <v/>
      </c>
    </row>
    <row r="23" ht="15" customHeight="1">
      <c r="A23" t="inlineStr">
        <is>
          <t>S 2231-2022</t>
        </is>
      </c>
      <c r="B23" t="inlineStr">
        <is>
          <t>samrådsanmälan</t>
        </is>
      </c>
      <c r="C23" t="inlineStr">
        <is>
          <t>Åtgärd i nyckelbiotop</t>
        </is>
      </c>
      <c r="D23" s="1" t="n">
        <v>44679</v>
      </c>
      <c r="E23" s="1" t="n">
        <v>46277</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46277</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46277</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46277</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5059-2025</t>
        </is>
      </c>
      <c r="B27" t="inlineStr">
        <is>
          <t>avverkningsanmälan</t>
        </is>
      </c>
      <c r="C27" t="inlineStr">
        <is>
          <t>Föryngringsavverkning</t>
        </is>
      </c>
      <c r="D27" s="1" t="n">
        <v>45691</v>
      </c>
      <c r="E27" s="1" t="n">
        <v>46277</v>
      </c>
      <c r="F27" t="inlineStr">
        <is>
          <t>SKÅNE LÄN</t>
        </is>
      </c>
      <c r="G27" t="inlineStr">
        <is>
          <t>LUND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59918-2022</t>
        </is>
      </c>
      <c r="B28" t="inlineStr">
        <is>
          <t>avverkningsanmälan</t>
        </is>
      </c>
      <c r="C28" t="inlineStr">
        <is>
          <t>Föryngringsavverkning</t>
        </is>
      </c>
      <c r="D28" s="1" t="n">
        <v>44909</v>
      </c>
      <c r="E28" s="1" t="n">
        <v>46277</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9889-2026</t>
        </is>
      </c>
      <c r="B29" t="inlineStr">
        <is>
          <t>avverkningsanmälan</t>
        </is>
      </c>
      <c r="C29" t="inlineStr">
        <is>
          <t>Föryngringsavverkning</t>
        </is>
      </c>
      <c r="D29" s="1" t="n">
        <v>46073</v>
      </c>
      <c r="E29" s="1" t="n">
        <v>46277</v>
      </c>
      <c r="F29" t="inlineStr">
        <is>
          <t>SKÅNE LÄN</t>
        </is>
      </c>
      <c r="G29" t="inlineStr">
        <is>
          <t>LUND</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46277</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46277</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46277</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20277-2026</t>
        </is>
      </c>
      <c r="B33" t="inlineStr">
        <is>
          <t>avverkningsanmälan</t>
        </is>
      </c>
      <c r="C33" t="inlineStr">
        <is>
          <t>Föryngringsavverkning</t>
        </is>
      </c>
      <c r="D33" s="1" t="n">
        <v>46139</v>
      </c>
      <c r="E33" s="1" t="n">
        <v>46277</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31773-2023</t>
        </is>
      </c>
      <c r="B34" t="inlineStr">
        <is>
          <t>avverkningsanmälan</t>
        </is>
      </c>
      <c r="C34" t="inlineStr">
        <is>
          <t>Föryngringsavverkning</t>
        </is>
      </c>
      <c r="D34" s="1" t="n">
        <v>45118</v>
      </c>
      <c r="E34" s="1" t="n">
        <v>46277</v>
      </c>
      <c r="F34" t="inlineStr">
        <is>
          <t>SKÅNE LÄN</t>
        </is>
      </c>
      <c r="G34" t="inlineStr">
        <is>
          <t>LUND</t>
        </is>
      </c>
      <c r="H34" t="inlineStr">
        <is>
          <t>Kommuner</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13754-2022</t>
        </is>
      </c>
      <c r="B35" t="inlineStr">
        <is>
          <t>avverkningsanmälan</t>
        </is>
      </c>
      <c r="C35" t="inlineStr">
        <is>
          <t>Föryngringsavverkning</t>
        </is>
      </c>
      <c r="D35" s="1" t="n">
        <v>44649</v>
      </c>
      <c r="E35" s="1" t="n">
        <v>46277</v>
      </c>
      <c r="F35" t="inlineStr">
        <is>
          <t>SKÅNE LÄN</t>
        </is>
      </c>
      <c r="G35" t="inlineStr">
        <is>
          <t>LUND</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28885-2022</t>
        </is>
      </c>
      <c r="B36" t="inlineStr">
        <is>
          <t>avverkningsanmälan</t>
        </is>
      </c>
      <c r="C36" t="inlineStr">
        <is>
          <t>Föryngringsavverkning</t>
        </is>
      </c>
      <c r="D36" s="1" t="n">
        <v>44749</v>
      </c>
      <c r="E36" s="1" t="n">
        <v>46277</v>
      </c>
      <c r="F36" t="inlineStr">
        <is>
          <t>SKÅNE LÄN</t>
        </is>
      </c>
      <c r="G36" t="inlineStr">
        <is>
          <t>LUND</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46277</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33019-2026</t>
        </is>
      </c>
      <c r="B38" t="inlineStr">
        <is>
          <t>avverkningsanmälan</t>
        </is>
      </c>
      <c r="C38" t="inlineStr">
        <is>
          <t>Föryngringsavverkning</t>
        </is>
      </c>
      <c r="D38" s="1" t="n">
        <v>46244</v>
      </c>
      <c r="E38" s="1" t="n">
        <v>46277</v>
      </c>
      <c r="F38" t="inlineStr">
        <is>
          <t>SKÅNE LÄN</t>
        </is>
      </c>
      <c r="G38" t="inlineStr">
        <is>
          <t>LUND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44646-2023</t>
        </is>
      </c>
      <c r="B39" t="inlineStr">
        <is>
          <t>avverkningsanmälan</t>
        </is>
      </c>
      <c r="C39" t="inlineStr">
        <is>
          <t>Föryngringsavverkning</t>
        </is>
      </c>
      <c r="D39" s="1" t="n">
        <v>45189</v>
      </c>
      <c r="E39" s="1" t="n">
        <v>46277</v>
      </c>
      <c r="F39" t="inlineStr">
        <is>
          <t>SKÅNE LÄN</t>
        </is>
      </c>
      <c r="G39" t="inlineStr">
        <is>
          <t>LUND</t>
        </is>
      </c>
      <c r="I39" t="n">
        <v>3.2</v>
      </c>
      <c r="J39" t="n">
        <v>0</v>
      </c>
      <c r="K39" t="n">
        <v>0</v>
      </c>
      <c r="L39" t="n">
        <v>0</v>
      </c>
      <c r="M39" t="n">
        <v>0</v>
      </c>
      <c r="N39" t="n">
        <v>0</v>
      </c>
      <c r="O39" t="n">
        <v>0</v>
      </c>
      <c r="P39" t="n">
        <v>0</v>
      </c>
      <c r="Q39" t="n">
        <v>0</v>
      </c>
      <c r="R39" t="n">
        <v>0</v>
      </c>
      <c r="S39" t="n">
        <v>0</v>
      </c>
      <c r="T39" t="n">
        <v>0</v>
      </c>
      <c r="U39" t="n">
        <v>0</v>
      </c>
      <c r="V39" s="2" t="inlineStr"/>
    </row>
    <row r="40" ht="15" customHeight="1">
      <c r="A40" t="inlineStr">
        <is>
          <t>A 29083-2023</t>
        </is>
      </c>
      <c r="B40" t="inlineStr">
        <is>
          <t>avverkningsanmälan</t>
        </is>
      </c>
      <c r="C40" t="inlineStr">
        <is>
          <t>Föryngringsavverkning</t>
        </is>
      </c>
      <c r="D40" s="1" t="n">
        <v>45105</v>
      </c>
      <c r="E40" s="1" t="n">
        <v>46277</v>
      </c>
      <c r="F40" t="inlineStr">
        <is>
          <t>SKÅNE LÄN</t>
        </is>
      </c>
      <c r="G40" t="inlineStr">
        <is>
          <t>LUND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30506-2026</t>
        </is>
      </c>
      <c r="B41" t="inlineStr">
        <is>
          <t>avverkningsanmälan</t>
        </is>
      </c>
      <c r="C41" t="inlineStr">
        <is>
          <t>Föryngringsavverkning</t>
        </is>
      </c>
      <c r="D41" s="1" t="n">
        <v>46210</v>
      </c>
      <c r="E41" s="1" t="n">
        <v>46277</v>
      </c>
      <c r="F41" t="inlineStr">
        <is>
          <t>SKÅNE LÄN</t>
        </is>
      </c>
      <c r="G41" t="inlineStr">
        <is>
          <t>LUND</t>
        </is>
      </c>
      <c r="H41" t="inlineStr">
        <is>
          <t>Kommuner</t>
        </is>
      </c>
      <c r="I41" t="n">
        <v>6.6</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46277</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17519-2023</t>
        </is>
      </c>
      <c r="B43" t="inlineStr">
        <is>
          <t>avverkningsanmälan</t>
        </is>
      </c>
      <c r="C43" t="inlineStr">
        <is>
          <t>Avverkning för annat ändamål</t>
        </is>
      </c>
      <c r="D43" s="1" t="n">
        <v>45036</v>
      </c>
      <c r="E43" s="1" t="n">
        <v>46277</v>
      </c>
      <c r="F43" t="inlineStr">
        <is>
          <t>SKÅNE LÄN</t>
        </is>
      </c>
      <c r="G43" t="inlineStr">
        <is>
          <t>LUND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46277</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46277</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2026-09-12T02:09:09Z</dcterms:created>
  <dcterms:modified xmlns:dcterms="http://purl.org/dc/terms/" xmlns:xsi="http://www.w3.org/2001/XMLSchema-instance" xsi:type="dcterms:W3CDTF">2026-09-12T02:09:10Z</dcterms:modified>
</cp:coreProperties>
</file>