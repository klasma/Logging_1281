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46097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46097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46097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22776-2024</t>
        </is>
      </c>
      <c r="B5" s="1" t="n">
        <v>45448.47032407407</v>
      </c>
      <c r="C5" s="1" t="n">
        <v>46097</v>
      </c>
      <c r="D5" t="inlineStr">
        <is>
          <t>SKÅNE LÄN</t>
        </is>
      </c>
      <c r="E5" t="inlineStr">
        <is>
          <t>LUND</t>
        </is>
      </c>
      <c r="G5" t="n">
        <v>5.6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Grönvit nattviol</t>
        </is>
      </c>
      <c r="S5">
        <f>HYPERLINK("https://klasma.github.io/Logging_1281/artfynd/A 22776-2024 artfynd.xlsx", "A 22776-2024")</f>
        <v/>
      </c>
      <c r="T5">
        <f>HYPERLINK("https://klasma.github.io/Logging_1281/kartor/A 22776-2024 karta.png", "A 22776-2024")</f>
        <v/>
      </c>
      <c r="V5">
        <f>HYPERLINK("https://klasma.github.io/Logging_1281/klagomål/A 22776-2024 FSC-klagomål.docx", "A 22776-2024")</f>
        <v/>
      </c>
      <c r="W5">
        <f>HYPERLINK("https://klasma.github.io/Logging_1281/klagomålsmail/A 22776-2024 FSC-klagomål mail.docx", "A 22776-2024")</f>
        <v/>
      </c>
      <c r="X5">
        <f>HYPERLINK("https://klasma.github.io/Logging_1281/tillsyn/A 22776-2024 tillsynsbegäran.docx", "A 22776-2024")</f>
        <v/>
      </c>
      <c r="Y5">
        <f>HYPERLINK("https://klasma.github.io/Logging_1281/tillsynsmail/A 22776-2024 tillsynsbegäran mail.docx", "A 22776-2024")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46097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46097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46097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46097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46097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46097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46097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46097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46097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11732-2024</t>
        </is>
      </c>
      <c r="B15" s="1" t="n">
        <v>45373.69222222222</v>
      </c>
      <c r="C15" s="1" t="n">
        <v>46097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46097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46097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46097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46097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56855-2021</t>
        </is>
      </c>
      <c r="B20" s="1" t="n">
        <v>44481</v>
      </c>
      <c r="C20" s="1" t="n">
        <v>46097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46097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46097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59918-2022</t>
        </is>
      </c>
      <c r="B23" s="1" t="n">
        <v>44909</v>
      </c>
      <c r="C23" s="1" t="n">
        <v>46097</v>
      </c>
      <c r="D23" t="inlineStr">
        <is>
          <t>SKÅNE LÄN</t>
        </is>
      </c>
      <c r="E23" t="inlineStr">
        <is>
          <t>LUND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46097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21767-2023</t>
        </is>
      </c>
      <c r="B25" s="1" t="n">
        <v>45065</v>
      </c>
      <c r="C25" s="1" t="n">
        <v>46097</v>
      </c>
      <c r="D25" t="inlineStr">
        <is>
          <t>SKÅNE LÄN</t>
        </is>
      </c>
      <c r="E25" t="inlineStr">
        <is>
          <t>LUND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14058-2025</t>
        </is>
      </c>
      <c r="B26" s="1" t="n">
        <v>45740.40390046296</v>
      </c>
      <c r="C26" s="1" t="n">
        <v>46097</v>
      </c>
      <c r="D26" t="inlineStr">
        <is>
          <t>SKÅNE LÄN</t>
        </is>
      </c>
      <c r="E26" t="inlineStr">
        <is>
          <t>LUND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46097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46097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46097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31773-2023</t>
        </is>
      </c>
      <c r="B30" s="1" t="n">
        <v>45118</v>
      </c>
      <c r="C30" s="1" t="n">
        <v>46097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46097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46097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20057-2025</t>
        </is>
      </c>
      <c r="B33" s="1" t="n">
        <v>45772</v>
      </c>
      <c r="C33" s="1" t="n">
        <v>46097</v>
      </c>
      <c r="D33" t="inlineStr">
        <is>
          <t>SKÅNE LÄN</t>
        </is>
      </c>
      <c r="E33" t="inlineStr">
        <is>
          <t>LUND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44646-2023</t>
        </is>
      </c>
      <c r="B34" s="1" t="n">
        <v>45189</v>
      </c>
      <c r="C34" s="1" t="n">
        <v>46097</v>
      </c>
      <c r="D34" t="inlineStr">
        <is>
          <t>SKÅNE LÄN</t>
        </is>
      </c>
      <c r="E34" t="inlineStr">
        <is>
          <t>LUND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29247-2025</t>
        </is>
      </c>
      <c r="B35" s="1" t="n">
        <v>45824</v>
      </c>
      <c r="C35" s="1" t="n">
        <v>46097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15984-2025</t>
        </is>
      </c>
      <c r="B36" s="1" t="n">
        <v>45749</v>
      </c>
      <c r="C36" s="1" t="n">
        <v>46097</v>
      </c>
      <c r="D36" t="inlineStr">
        <is>
          <t>SKÅNE LÄN</t>
        </is>
      </c>
      <c r="E36" t="inlineStr">
        <is>
          <t>LUND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46097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16499-2025</t>
        </is>
      </c>
      <c r="B38" s="1" t="n">
        <v>45751.60246527778</v>
      </c>
      <c r="C38" s="1" t="n">
        <v>46097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59733-2023</t>
        </is>
      </c>
      <c r="B39" s="1" t="n">
        <v>45257</v>
      </c>
      <c r="C39" s="1" t="n">
        <v>46097</v>
      </c>
      <c r="D39" t="inlineStr">
        <is>
          <t>SKÅNE LÄN</t>
        </is>
      </c>
      <c r="E39" t="inlineStr">
        <is>
          <t>LUND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34484-2025</t>
        </is>
      </c>
      <c r="B40" s="1" t="n">
        <v>45847.39517361111</v>
      </c>
      <c r="C40" s="1" t="n">
        <v>46097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46097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46097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6034-2025</t>
        </is>
      </c>
      <c r="B43" s="1" t="n">
        <v>45695.64231481482</v>
      </c>
      <c r="C43" s="1" t="n">
        <v>46097</v>
      </c>
      <c r="D43" t="inlineStr">
        <is>
          <t>SKÅNE LÄN</t>
        </is>
      </c>
      <c r="E43" t="inlineStr">
        <is>
          <t>LUND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2248-2025</t>
        </is>
      </c>
      <c r="B44" s="1" t="n">
        <v>45673.49231481482</v>
      </c>
      <c r="C44" s="1" t="n">
        <v>46097</v>
      </c>
      <c r="D44" t="inlineStr">
        <is>
          <t>SKÅNE LÄN</t>
        </is>
      </c>
      <c r="E44" t="inlineStr">
        <is>
          <t>LUND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46097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58337-2025</t>
        </is>
      </c>
      <c r="B46" s="1" t="n">
        <v>45985.48895833334</v>
      </c>
      <c r="C46" s="1" t="n">
        <v>46097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58488-2025</t>
        </is>
      </c>
      <c r="B47" s="1" t="n">
        <v>45985.66210648148</v>
      </c>
      <c r="C47" s="1" t="n">
        <v>46097</v>
      </c>
      <c r="D47" t="inlineStr">
        <is>
          <t>SKÅNE LÄN</t>
        </is>
      </c>
      <c r="E47" t="inlineStr">
        <is>
          <t>LUND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58335-2025</t>
        </is>
      </c>
      <c r="B48" s="1" t="n">
        <v>45985.48332175926</v>
      </c>
      <c r="C48" s="1" t="n">
        <v>46097</v>
      </c>
      <c r="D48" t="inlineStr">
        <is>
          <t>SKÅNE LÄN</t>
        </is>
      </c>
      <c r="E48" t="inlineStr">
        <is>
          <t>LUND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59206-2025</t>
        </is>
      </c>
      <c r="B49" s="1" t="n">
        <v>45988.60881944445</v>
      </c>
      <c r="C49" s="1" t="n">
        <v>46097</v>
      </c>
      <c r="D49" t="inlineStr">
        <is>
          <t>SKÅNE LÄN</t>
        </is>
      </c>
      <c r="E49" t="inlineStr">
        <is>
          <t>LUND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9889-2026</t>
        </is>
      </c>
      <c r="B50" s="1" t="n">
        <v>46073.368125</v>
      </c>
      <c r="C50" s="1" t="n">
        <v>46097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2026-03-16T11:20:33Z</dcterms:created>
  <dcterms:modified xmlns:dcterms="http://purl.org/dc/terms/" xmlns:xsi="http://www.w3.org/2001/XMLSchema-instance" xsi:type="dcterms:W3CDTF">2026-03-16T11:20:33Z</dcterms:modified>
</cp:coreProperties>
</file>