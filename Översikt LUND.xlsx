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45511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45511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45511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45511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45511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45511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45511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45511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45511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9758-2024</t>
        </is>
      </c>
      <c r="B11" s="1" t="n">
        <v>45362</v>
      </c>
      <c r="C11" s="1" t="n">
        <v>45511</v>
      </c>
      <c r="D11" t="inlineStr">
        <is>
          <t>SKÅNE LÄN</t>
        </is>
      </c>
      <c r="E11" t="inlineStr">
        <is>
          <t>LUND</t>
        </is>
      </c>
      <c r="G11" t="n">
        <v>12.4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HYPERLINK("https://klasma.github.io/Logging_1281/artfynd/A 9758-2024 artfynd.xlsx", "A 9758-2024")</f>
        <v/>
      </c>
      <c r="T11">
        <f>HYPERLINK("https://klasma.github.io/Logging_1281/kartor/A 9758-2024 karta.png", "A 9758-2024")</f>
        <v/>
      </c>
      <c r="V11">
        <f>HYPERLINK("https://klasma.github.io/Logging_1281/klagomål/A 9758-2024 FSC-klagomål.docx", "A 9758-2024")</f>
        <v/>
      </c>
      <c r="W11">
        <f>HYPERLINK("https://klasma.github.io/Logging_1281/klagomålsmail/A 9758-2024 FSC-klagomål mail.docx", "A 9758-2024")</f>
        <v/>
      </c>
      <c r="X11">
        <f>HYPERLINK("https://klasma.github.io/Logging_1281/tillsyn/A 9758-2024 tillsynsbegäran.docx", "A 9758-2024")</f>
        <v/>
      </c>
      <c r="Y11">
        <f>HYPERLINK("https://klasma.github.io/Logging_1281/tillsynsmail/A 9758-2024 tillsynsbegäran mail.docx", "A 9758-2024")</f>
        <v/>
      </c>
    </row>
    <row r="12" ht="15" customHeight="1">
      <c r="A12" t="inlineStr">
        <is>
          <t>A 11731-2024</t>
        </is>
      </c>
      <c r="B12" s="1" t="n">
        <v>45373</v>
      </c>
      <c r="C12" s="1" t="n">
        <v>45511</v>
      </c>
      <c r="D12" t="inlineStr">
        <is>
          <t>SKÅNE LÄN</t>
        </is>
      </c>
      <c r="E12" t="inlineStr">
        <is>
          <t>LUND</t>
        </is>
      </c>
      <c r="G12" t="n">
        <v>14.5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HYPERLINK("https://klasma.github.io/Logging_1281/artfynd/A 11731-2024 artfynd.xlsx", "A 11731-2024")</f>
        <v/>
      </c>
      <c r="T12">
        <f>HYPERLINK("https://klasma.github.io/Logging_1281/kartor/A 11731-2024 karta.png", "A 11731-2024")</f>
        <v/>
      </c>
      <c r="V12">
        <f>HYPERLINK("https://klasma.github.io/Logging_1281/klagomål/A 11731-2024 FSC-klagomål.docx", "A 11731-2024")</f>
        <v/>
      </c>
      <c r="W12">
        <f>HYPERLINK("https://klasma.github.io/Logging_1281/klagomålsmail/A 11731-2024 FSC-klagomål mail.docx", "A 11731-2024")</f>
        <v/>
      </c>
      <c r="X12">
        <f>HYPERLINK("https://klasma.github.io/Logging_1281/tillsyn/A 11731-2024 tillsynsbegäran.docx", "A 11731-2024")</f>
        <v/>
      </c>
      <c r="Y12">
        <f>HYPERLINK("https://klasma.github.io/Logging_1281/tillsynsmail/A 11731-2024 tillsynsbegäran mail.docx", "A 11731-2024")</f>
        <v/>
      </c>
    </row>
    <row r="13" ht="15" customHeight="1">
      <c r="A13" t="inlineStr">
        <is>
          <t>A 25866-2019</t>
        </is>
      </c>
      <c r="B13" s="1" t="n">
        <v>43605</v>
      </c>
      <c r="C13" s="1" t="n">
        <v>45511</v>
      </c>
      <c r="D13" t="inlineStr">
        <is>
          <t>SKÅNE LÄN</t>
        </is>
      </c>
      <c r="E13" t="inlineStr">
        <is>
          <t>LUND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29534-2019</t>
        </is>
      </c>
      <c r="B14" s="1" t="n">
        <v>43630</v>
      </c>
      <c r="C14" s="1" t="n">
        <v>45511</v>
      </c>
      <c r="D14" t="inlineStr">
        <is>
          <t>SKÅNE LÄN</t>
        </is>
      </c>
      <c r="E14" t="inlineStr">
        <is>
          <t>LUND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44783-2019</t>
        </is>
      </c>
      <c r="B15" s="1" t="n">
        <v>43707</v>
      </c>
      <c r="C15" s="1" t="n">
        <v>45511</v>
      </c>
      <c r="D15" t="inlineStr">
        <is>
          <t>SKÅNE LÄN</t>
        </is>
      </c>
      <c r="E15" t="inlineStr">
        <is>
          <t>LUND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45374-2019</t>
        </is>
      </c>
      <c r="B16" s="1" t="n">
        <v>43714</v>
      </c>
      <c r="C16" s="1" t="n">
        <v>45511</v>
      </c>
      <c r="D16" t="inlineStr">
        <is>
          <t>SKÅNE LÄN</t>
        </is>
      </c>
      <c r="E16" t="inlineStr">
        <is>
          <t>LUND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45372-2019</t>
        </is>
      </c>
      <c r="B17" s="1" t="n">
        <v>43714</v>
      </c>
      <c r="C17" s="1" t="n">
        <v>45511</v>
      </c>
      <c r="D17" t="inlineStr">
        <is>
          <t>SKÅNE LÄN</t>
        </is>
      </c>
      <c r="E17" t="inlineStr">
        <is>
          <t>LUND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6005-2020</t>
        </is>
      </c>
      <c r="B18" s="1" t="n">
        <v>43865</v>
      </c>
      <c r="C18" s="1" t="n">
        <v>45511</v>
      </c>
      <c r="D18" t="inlineStr">
        <is>
          <t>SKÅNE LÄN</t>
        </is>
      </c>
      <c r="E18" t="inlineStr">
        <is>
          <t>LUND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38688-2020</t>
        </is>
      </c>
      <c r="B19" s="1" t="n">
        <v>44061</v>
      </c>
      <c r="C19" s="1" t="n">
        <v>45511</v>
      </c>
      <c r="D19" t="inlineStr">
        <is>
          <t>SKÅNE LÄN</t>
        </is>
      </c>
      <c r="E19" t="inlineStr">
        <is>
          <t>LUND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48295-2020</t>
        </is>
      </c>
      <c r="B20" s="1" t="n">
        <v>44102</v>
      </c>
      <c r="C20" s="1" t="n">
        <v>45511</v>
      </c>
      <c r="D20" t="inlineStr">
        <is>
          <t>SKÅNE LÄN</t>
        </is>
      </c>
      <c r="E20" t="inlineStr">
        <is>
          <t>LUND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13194-2021</t>
        </is>
      </c>
      <c r="B21" s="1" t="n">
        <v>44272</v>
      </c>
      <c r="C21" s="1" t="n">
        <v>45511</v>
      </c>
      <c r="D21" t="inlineStr">
        <is>
          <t>SKÅNE LÄN</t>
        </is>
      </c>
      <c r="E21" t="inlineStr">
        <is>
          <t>LUND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22411-2021</t>
        </is>
      </c>
      <c r="B22" s="1" t="n">
        <v>44326</v>
      </c>
      <c r="C22" s="1" t="n">
        <v>45511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24358-2021</t>
        </is>
      </c>
      <c r="B23" s="1" t="n">
        <v>44337</v>
      </c>
      <c r="C23" s="1" t="n">
        <v>45511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32893-2021</t>
        </is>
      </c>
      <c r="B24" s="1" t="n">
        <v>44375</v>
      </c>
      <c r="C24" s="1" t="n">
        <v>45511</v>
      </c>
      <c r="D24" t="inlineStr">
        <is>
          <t>SKÅNE LÄN</t>
        </is>
      </c>
      <c r="E24" t="inlineStr">
        <is>
          <t>LUND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33983-2021</t>
        </is>
      </c>
      <c r="B25" s="1" t="n">
        <v>44378</v>
      </c>
      <c r="C25" s="1" t="n">
        <v>45511</v>
      </c>
      <c r="D25" t="inlineStr">
        <is>
          <t>SKÅNE LÄN</t>
        </is>
      </c>
      <c r="E25" t="inlineStr">
        <is>
          <t>LUND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33985-2021</t>
        </is>
      </c>
      <c r="B26" s="1" t="n">
        <v>44378</v>
      </c>
      <c r="C26" s="1" t="n">
        <v>45511</v>
      </c>
      <c r="D26" t="inlineStr">
        <is>
          <t>SKÅNE LÄN</t>
        </is>
      </c>
      <c r="E26" t="inlineStr">
        <is>
          <t>LUND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33984-2021</t>
        </is>
      </c>
      <c r="B27" s="1" t="n">
        <v>44378</v>
      </c>
      <c r="C27" s="1" t="n">
        <v>45511</v>
      </c>
      <c r="D27" t="inlineStr">
        <is>
          <t>SKÅNE LÄN</t>
        </is>
      </c>
      <c r="E27" t="inlineStr">
        <is>
          <t>LUND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56855-2021</t>
        </is>
      </c>
      <c r="B28" s="1" t="n">
        <v>44481</v>
      </c>
      <c r="C28" s="1" t="n">
        <v>45511</v>
      </c>
      <c r="D28" t="inlineStr">
        <is>
          <t>SKÅNE LÄN</t>
        </is>
      </c>
      <c r="E28" t="inlineStr">
        <is>
          <t>LUND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68005-2021</t>
        </is>
      </c>
      <c r="B29" s="1" t="n">
        <v>44525</v>
      </c>
      <c r="C29" s="1" t="n">
        <v>45511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13754-2022</t>
        </is>
      </c>
      <c r="B30" s="1" t="n">
        <v>44649</v>
      </c>
      <c r="C30" s="1" t="n">
        <v>45511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18873-2022</t>
        </is>
      </c>
      <c r="B31" s="1" t="n">
        <v>44690</v>
      </c>
      <c r="C31" s="1" t="n">
        <v>45511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45511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45725-2022</t>
        </is>
      </c>
      <c r="B33" s="1" t="n">
        <v>44846</v>
      </c>
      <c r="C33" s="1" t="n">
        <v>45511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45771-2022</t>
        </is>
      </c>
      <c r="B34" s="1" t="n">
        <v>44846</v>
      </c>
      <c r="C34" s="1" t="n">
        <v>45511</v>
      </c>
      <c r="D34" t="inlineStr">
        <is>
          <t>SKÅNE LÄN</t>
        </is>
      </c>
      <c r="E34" t="inlineStr">
        <is>
          <t>LUND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59338-2022</t>
        </is>
      </c>
      <c r="B35" s="1" t="n">
        <v>44904</v>
      </c>
      <c r="C35" s="1" t="n">
        <v>45511</v>
      </c>
      <c r="D35" t="inlineStr">
        <is>
          <t>SKÅNE LÄN</t>
        </is>
      </c>
      <c r="E35" t="inlineStr">
        <is>
          <t>LUND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45511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45511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17519-2023</t>
        </is>
      </c>
      <c r="B38" s="1" t="n">
        <v>45036</v>
      </c>
      <c r="C38" s="1" t="n">
        <v>45511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45511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27983-2023</t>
        </is>
      </c>
      <c r="B40" s="1" t="n">
        <v>45098</v>
      </c>
      <c r="C40" s="1" t="n">
        <v>45511</v>
      </c>
      <c r="D40" t="inlineStr">
        <is>
          <t>SKÅNE LÄN</t>
        </is>
      </c>
      <c r="E40" t="inlineStr">
        <is>
          <t>LUND</t>
        </is>
      </c>
      <c r="G40" t="n">
        <v>37.6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29036-2023</t>
        </is>
      </c>
      <c r="B41" s="1" t="n">
        <v>45104</v>
      </c>
      <c r="C41" s="1" t="n">
        <v>45511</v>
      </c>
      <c r="D41" t="inlineStr">
        <is>
          <t>SKÅNE LÄN</t>
        </is>
      </c>
      <c r="E41" t="inlineStr">
        <is>
          <t>LUND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29075-2023</t>
        </is>
      </c>
      <c r="B42" s="1" t="n">
        <v>45104</v>
      </c>
      <c r="C42" s="1" t="n">
        <v>45511</v>
      </c>
      <c r="D42" t="inlineStr">
        <is>
          <t>SKÅNE LÄN</t>
        </is>
      </c>
      <c r="E42" t="inlineStr">
        <is>
          <t>LUND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29074-2023</t>
        </is>
      </c>
      <c r="B43" s="1" t="n">
        <v>45104</v>
      </c>
      <c r="C43" s="1" t="n">
        <v>45511</v>
      </c>
      <c r="D43" t="inlineStr">
        <is>
          <t>SKÅNE LÄN</t>
        </is>
      </c>
      <c r="E43" t="inlineStr">
        <is>
          <t>LUND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29083-2023</t>
        </is>
      </c>
      <c r="B44" s="1" t="n">
        <v>45105</v>
      </c>
      <c r="C44" s="1" t="n">
        <v>45511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45511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45511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45511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55154-2023</t>
        </is>
      </c>
      <c r="B48" s="1" t="n">
        <v>45237</v>
      </c>
      <c r="C48" s="1" t="n">
        <v>45511</v>
      </c>
      <c r="D48" t="inlineStr">
        <is>
          <t>SKÅNE LÄN</t>
        </is>
      </c>
      <c r="E48" t="inlineStr">
        <is>
          <t>LUND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55148-2023</t>
        </is>
      </c>
      <c r="B49" s="1" t="n">
        <v>45237</v>
      </c>
      <c r="C49" s="1" t="n">
        <v>45511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55147-2023</t>
        </is>
      </c>
      <c r="B50" s="1" t="n">
        <v>45237</v>
      </c>
      <c r="C50" s="1" t="n">
        <v>45511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55152-2023</t>
        </is>
      </c>
      <c r="B51" s="1" t="n">
        <v>45237</v>
      </c>
      <c r="C51" s="1" t="n">
        <v>45511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55158-2023</t>
        </is>
      </c>
      <c r="B52" s="1" t="n">
        <v>45237</v>
      </c>
      <c r="C52" s="1" t="n">
        <v>45511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55145-2023</t>
        </is>
      </c>
      <c r="B53" s="1" t="n">
        <v>45237</v>
      </c>
      <c r="C53" s="1" t="n">
        <v>45511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45511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45511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45511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45511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45511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45511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45511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45511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25421-2024</t>
        </is>
      </c>
      <c r="B62" s="1" t="n">
        <v>45463</v>
      </c>
      <c r="C62" s="1" t="n">
        <v>45511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2024-08-07T10:42:25Z</dcterms:created>
  <dcterms:modified xmlns:dcterms="http://purl.org/dc/terms/" xmlns:xsi="http://www.w3.org/2001/XMLSchema-instance" xsi:type="dcterms:W3CDTF">2024-08-07T10:42:25Z</dcterms:modified>
</cp:coreProperties>
</file>