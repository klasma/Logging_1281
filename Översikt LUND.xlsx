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46183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46183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4816-2025</t>
        </is>
      </c>
      <c r="B6" s="1" t="n">
        <v>45688.62052083333</v>
      </c>
      <c r="C6" s="1" t="n">
        <v>46183</v>
      </c>
      <c r="D6" t="inlineStr">
        <is>
          <t>SKÅNE LÄN</t>
        </is>
      </c>
      <c r="E6" t="inlineStr">
        <is>
          <t>LUND</t>
        </is>
      </c>
      <c r="G6" t="n">
        <v>7.7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Sydlig sotticka
Strutbräken</t>
        </is>
      </c>
      <c r="S6">
        <f>HYPERLINK("https://klasma.github.io/Logging_1281/artfynd/A 4816-2025 artfynd.xlsx", "A 4816-2025")</f>
        <v/>
      </c>
      <c r="T6">
        <f>HYPERLINK("https://klasma.github.io/Logging_1281/kartor/A 4816-2025 karta.png", "A 4816-2025")</f>
        <v/>
      </c>
      <c r="V6">
        <f>HYPERLINK("https://klasma.github.io/Logging_1281/klagomål/A 4816-2025 FSC-klagomål.docx", "A 4816-2025")</f>
        <v/>
      </c>
      <c r="W6">
        <f>HYPERLINK("https://klasma.github.io/Logging_1281/klagomålsmail/A 4816-2025 FSC-klagomål mail.docx", "A 4816-2025")</f>
        <v/>
      </c>
      <c r="X6">
        <f>HYPERLINK("https://klasma.github.io/Logging_1281/tillsyn/A 4816-2025 tillsynsbegäran.docx", "A 4816-2025")</f>
        <v/>
      </c>
      <c r="Y6">
        <f>HYPERLINK("https://klasma.github.io/Logging_1281/tillsynsmail/A 4816-2025 tillsynsbegäran mail.docx", "A 4816-2025")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46183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46183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46183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46183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46183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46183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46183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46183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46183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46183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46183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46183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21767-2023</t>
        </is>
      </c>
      <c r="B20" s="1" t="n">
        <v>45065</v>
      </c>
      <c r="C20" s="1" t="n">
        <v>46183</v>
      </c>
      <c r="D20" t="inlineStr">
        <is>
          <t>SKÅNE LÄN</t>
        </is>
      </c>
      <c r="E20" t="inlineStr">
        <is>
          <t>LUND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46183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46183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31773-2023</t>
        </is>
      </c>
      <c r="B23" s="1" t="n">
        <v>45118</v>
      </c>
      <c r="C23" s="1" t="n">
        <v>46183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13754-2022</t>
        </is>
      </c>
      <c r="B24" s="1" t="n">
        <v>44649</v>
      </c>
      <c r="C24" s="1" t="n">
        <v>46183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46183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46183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46183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46183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46183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46183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46183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59918-2022</t>
        </is>
      </c>
      <c r="B32" s="1" t="n">
        <v>44909</v>
      </c>
      <c r="C32" s="1" t="n">
        <v>46183</v>
      </c>
      <c r="D32" t="inlineStr">
        <is>
          <t>SKÅNE LÄN</t>
        </is>
      </c>
      <c r="E32" t="inlineStr">
        <is>
          <t>LUND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16499-2025</t>
        </is>
      </c>
      <c r="B33" s="1" t="n">
        <v>45751.60246527778</v>
      </c>
      <c r="C33" s="1" t="n">
        <v>46183</v>
      </c>
      <c r="D33" t="inlineStr">
        <is>
          <t>SKÅNE LÄN</t>
        </is>
      </c>
      <c r="E33" t="inlineStr">
        <is>
          <t>LUND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59733-2023</t>
        </is>
      </c>
      <c r="B34" s="1" t="n">
        <v>45257</v>
      </c>
      <c r="C34" s="1" t="n">
        <v>46183</v>
      </c>
      <c r="D34" t="inlineStr">
        <is>
          <t>SKÅNE LÄN</t>
        </is>
      </c>
      <c r="E34" t="inlineStr">
        <is>
          <t>LUND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55158-2023</t>
        </is>
      </c>
      <c r="B35" s="1" t="n">
        <v>45237</v>
      </c>
      <c r="C35" s="1" t="n">
        <v>46183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14058-2025</t>
        </is>
      </c>
      <c r="B36" s="1" t="n">
        <v>45740.40390046296</v>
      </c>
      <c r="C36" s="1" t="n">
        <v>46183</v>
      </c>
      <c r="D36" t="inlineStr">
        <is>
          <t>SKÅNE LÄN</t>
        </is>
      </c>
      <c r="E36" t="inlineStr">
        <is>
          <t>LUND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20277-2026</t>
        </is>
      </c>
      <c r="B37" s="1" t="n">
        <v>46139.53665509259</v>
      </c>
      <c r="C37" s="1" t="n">
        <v>46183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46183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46183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46183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46183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46183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58337-2025</t>
        </is>
      </c>
      <c r="B43" s="1" t="n">
        <v>45985.48895833334</v>
      </c>
      <c r="C43" s="1" t="n">
        <v>46183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45985.66210648148</v>
      </c>
      <c r="C44" s="1" t="n">
        <v>46183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58335-2025</t>
        </is>
      </c>
      <c r="B45" s="1" t="n">
        <v>45985.48332175926</v>
      </c>
      <c r="C45" s="1" t="n">
        <v>46183</v>
      </c>
      <c r="D45" t="inlineStr">
        <is>
          <t>SKÅNE LÄN</t>
        </is>
      </c>
      <c r="E45" t="inlineStr">
        <is>
          <t>LUND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59206-2025</t>
        </is>
      </c>
      <c r="B46" s="1" t="n">
        <v>45988.60881944445</v>
      </c>
      <c r="C46" s="1" t="n">
        <v>46183</v>
      </c>
      <c r="D46" t="inlineStr">
        <is>
          <t>SKÅNE LÄN</t>
        </is>
      </c>
      <c r="E46" t="inlineStr">
        <is>
          <t>LUND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17519-2023</t>
        </is>
      </c>
      <c r="B47" s="1" t="n">
        <v>45036</v>
      </c>
      <c r="C47" s="1" t="n">
        <v>46183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9889-2026</t>
        </is>
      </c>
      <c r="B48" s="1" t="n">
        <v>46073.368125</v>
      </c>
      <c r="C48" s="1" t="n">
        <v>46183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2026-06-10T09:27:00Z</dcterms:created>
  <dcterms:modified xmlns:dcterms="http://purl.org/dc/terms/" xmlns:xsi="http://www.w3.org/2001/XMLSchema-instance" xsi:type="dcterms:W3CDTF">2026-06-10T09:27:00Z</dcterms:modified>
</cp:coreProperties>
</file>