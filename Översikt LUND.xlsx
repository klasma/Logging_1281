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46116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46116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46116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46116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46116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46116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46116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46116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46116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46116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46116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35443-2021</t>
        </is>
      </c>
      <c r="B13" s="1" t="n">
        <v>44385</v>
      </c>
      <c r="C13" s="1" t="n">
        <v>46116</v>
      </c>
      <c r="D13" t="inlineStr">
        <is>
          <t>SKÅNE LÄN</t>
        </is>
      </c>
      <c r="E13" t="inlineStr">
        <is>
          <t>LUND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Klubbfibbla</t>
        </is>
      </c>
      <c r="S13">
        <f>HYPERLINK("https://klasma.github.io/Logging_1281/artfynd/A 35443-2021 artfynd.xlsx", "A 35443-2021")</f>
        <v/>
      </c>
      <c r="T13">
        <f>HYPERLINK("https://klasma.github.io/Logging_1281/kartor/A 35443-2021 karta.png", "A 35443-2021")</f>
        <v/>
      </c>
      <c r="V13">
        <f>HYPERLINK("https://klasma.github.io/Logging_1281/klagomål/A 35443-2021 FSC-klagomål.docx", "A 35443-2021")</f>
        <v/>
      </c>
      <c r="W13">
        <f>HYPERLINK("https://klasma.github.io/Logging_1281/klagomålsmail/A 35443-2021 FSC-klagomål mail.docx", "A 35443-2021")</f>
        <v/>
      </c>
      <c r="X13">
        <f>HYPERLINK("https://klasma.github.io/Logging_1281/tillsyn/A 35443-2021 tillsynsbegäran.docx", "A 35443-2021")</f>
        <v/>
      </c>
      <c r="Y13">
        <f>HYPERLINK("https://klasma.github.io/Logging_1281/tillsynsmail/A 35443-2021 tillsynsbegäran mail.docx", "A 35443-2021")</f>
        <v/>
      </c>
    </row>
    <row r="14" ht="15" customHeight="1">
      <c r="A14" t="inlineStr">
        <is>
          <t>A 31764-2023</t>
        </is>
      </c>
      <c r="B14" s="1" t="n">
        <v>45118</v>
      </c>
      <c r="C14" s="1" t="n">
        <v>46116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Skorpdyna</t>
        </is>
      </c>
      <c r="S14">
        <f>HYPERLINK("https://klasma.github.io/Logging_1281/artfynd/A 31764-2023 artfynd.xlsx", "A 31764-2023")</f>
        <v/>
      </c>
      <c r="T14">
        <f>HYPERLINK("https://klasma.github.io/Logging_1281/kartor/A 31764-2023 karta.png", "A 31764-2023")</f>
        <v/>
      </c>
      <c r="V14">
        <f>HYPERLINK("https://klasma.github.io/Logging_1281/klagomål/A 31764-2023 FSC-klagomål.docx", "A 31764-2023")</f>
        <v/>
      </c>
      <c r="W14">
        <f>HYPERLINK("https://klasma.github.io/Logging_1281/klagomålsmail/A 31764-2023 FSC-klagomål mail.docx", "A 31764-2023")</f>
        <v/>
      </c>
      <c r="X14">
        <f>HYPERLINK("https://klasma.github.io/Logging_1281/tillsyn/A 31764-2023 tillsynsbegäran.docx", "A 31764-2023")</f>
        <v/>
      </c>
      <c r="Y14">
        <f>HYPERLINK("https://klasma.github.io/Logging_1281/tillsynsmail/A 31764-2023 tillsynsbegäran mail.docx", "A 31764-2023")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46116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55145-2023</t>
        </is>
      </c>
      <c r="B16" s="1" t="n">
        <v>45237</v>
      </c>
      <c r="C16" s="1" t="n">
        <v>46116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HYPERLINK("https://klasma.github.io/Logging_1281/artfynd/A 55145-2023 artfynd.xlsx", "A 55145-2023")</f>
        <v/>
      </c>
      <c r="T16">
        <f>HYPERLINK("https://klasma.github.io/Logging_1281/kartor/A 55145-2023 karta.png", "A 55145-2023")</f>
        <v/>
      </c>
      <c r="V16">
        <f>HYPERLINK("https://klasma.github.io/Logging_1281/klagomål/A 55145-2023 FSC-klagomål.docx", "A 55145-2023")</f>
        <v/>
      </c>
      <c r="W16">
        <f>HYPERLINK("https://klasma.github.io/Logging_1281/klagomålsmail/A 55145-2023 FSC-klagomål mail.docx", "A 55145-2023")</f>
        <v/>
      </c>
      <c r="X16">
        <f>HYPERLINK("https://klasma.github.io/Logging_1281/tillsyn/A 55145-2023 tillsynsbegäran.docx", "A 55145-2023")</f>
        <v/>
      </c>
      <c r="Y16">
        <f>HYPERLINK("https://klasma.github.io/Logging_1281/tillsynsmail/A 55145-2023 tillsynsbegäran mail.docx", "A 55145-2023")</f>
        <v/>
      </c>
    </row>
    <row r="17" ht="15" customHeight="1">
      <c r="A17" t="inlineStr">
        <is>
          <t>A 4746-2025</t>
        </is>
      </c>
      <c r="B17" s="1" t="n">
        <v>45688.46011574074</v>
      </c>
      <c r="C17" s="1" t="n">
        <v>46116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46116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46116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46116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46116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46116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46116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46116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28885-2022</t>
        </is>
      </c>
      <c r="B25" s="1" t="n">
        <v>44749</v>
      </c>
      <c r="C25" s="1" t="n">
        <v>46116</v>
      </c>
      <c r="D25" t="inlineStr">
        <is>
          <t>SKÅNE LÄN</t>
        </is>
      </c>
      <c r="E25" t="inlineStr">
        <is>
          <t>LUND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46116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45517.42064814815</v>
      </c>
      <c r="C27" s="1" t="n">
        <v>46116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46116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6034-2025</t>
        </is>
      </c>
      <c r="B29" s="1" t="n">
        <v>45695.64231481482</v>
      </c>
      <c r="C29" s="1" t="n">
        <v>46116</v>
      </c>
      <c r="D29" t="inlineStr">
        <is>
          <t>SKÅNE LÄN</t>
        </is>
      </c>
      <c r="E29" t="inlineStr">
        <is>
          <t>LUND</t>
        </is>
      </c>
      <c r="G29" t="n">
        <v>10.2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33985-2021</t>
        </is>
      </c>
      <c r="B30" s="1" t="n">
        <v>44378</v>
      </c>
      <c r="C30" s="1" t="n">
        <v>46116</v>
      </c>
      <c r="D30" t="inlineStr">
        <is>
          <t>SKÅNE LÄN</t>
        </is>
      </c>
      <c r="E30" t="inlineStr">
        <is>
          <t>LUND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45725-2022</t>
        </is>
      </c>
      <c r="B31" s="1" t="n">
        <v>44846</v>
      </c>
      <c r="C31" s="1" t="n">
        <v>46116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21767-2023</t>
        </is>
      </c>
      <c r="B32" s="1" t="n">
        <v>45065</v>
      </c>
      <c r="C32" s="1" t="n">
        <v>46116</v>
      </c>
      <c r="D32" t="inlineStr">
        <is>
          <t>SKÅNE LÄN</t>
        </is>
      </c>
      <c r="E32" t="inlineStr">
        <is>
          <t>LUND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46116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58335-2025</t>
        </is>
      </c>
      <c r="B34" s="1" t="n">
        <v>45985.48332175926</v>
      </c>
      <c r="C34" s="1" t="n">
        <v>46116</v>
      </c>
      <c r="D34" t="inlineStr">
        <is>
          <t>SKÅNE LÄN</t>
        </is>
      </c>
      <c r="E34" t="inlineStr">
        <is>
          <t>LUND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45985.66210648148</v>
      </c>
      <c r="C35" s="1" t="n">
        <v>46116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58337-2025</t>
        </is>
      </c>
      <c r="B36" s="1" t="n">
        <v>45985.48895833334</v>
      </c>
      <c r="C36" s="1" t="n">
        <v>46116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59206-2025</t>
        </is>
      </c>
      <c r="B37" s="1" t="n">
        <v>45988.60881944445</v>
      </c>
      <c r="C37" s="1" t="n">
        <v>46116</v>
      </c>
      <c r="D37" t="inlineStr">
        <is>
          <t>SKÅNE LÄN</t>
        </is>
      </c>
      <c r="E37" t="inlineStr">
        <is>
          <t>LUND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17519-2023</t>
        </is>
      </c>
      <c r="B38" s="1" t="n">
        <v>45036</v>
      </c>
      <c r="C38" s="1" t="n">
        <v>46116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16499-2025</t>
        </is>
      </c>
      <c r="B39" s="1" t="n">
        <v>45751.60246527778</v>
      </c>
      <c r="C39" s="1" t="n">
        <v>46116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59918-2022</t>
        </is>
      </c>
      <c r="B40" s="1" t="n">
        <v>44909</v>
      </c>
      <c r="C40" s="1" t="n">
        <v>46116</v>
      </c>
      <c r="D40" t="inlineStr">
        <is>
          <t>SKÅNE LÄN</t>
        </is>
      </c>
      <c r="E40" t="inlineStr">
        <is>
          <t>LUND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46116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31773-2023</t>
        </is>
      </c>
      <c r="B42" s="1" t="n">
        <v>45118</v>
      </c>
      <c r="C42" s="1" t="n">
        <v>46116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15984-2025</t>
        </is>
      </c>
      <c r="B43" s="1" t="n">
        <v>45749</v>
      </c>
      <c r="C43" s="1" t="n">
        <v>46116</v>
      </c>
      <c r="D43" t="inlineStr">
        <is>
          <t>SKÅNE LÄN</t>
        </is>
      </c>
      <c r="E43" t="inlineStr">
        <is>
          <t>LUND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29083-2023</t>
        </is>
      </c>
      <c r="B44" s="1" t="n">
        <v>45105</v>
      </c>
      <c r="C44" s="1" t="n">
        <v>46116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49297-2023</t>
        </is>
      </c>
      <c r="B45" s="1" t="n">
        <v>45210</v>
      </c>
      <c r="C45" s="1" t="n">
        <v>46116</v>
      </c>
      <c r="D45" t="inlineStr">
        <is>
          <t>SKÅNE LÄN</t>
        </is>
      </c>
      <c r="E45" t="inlineStr">
        <is>
          <t>LUND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9889-2026</t>
        </is>
      </c>
      <c r="B46" s="1" t="n">
        <v>46073.368125</v>
      </c>
      <c r="C46" s="1" t="n">
        <v>46116</v>
      </c>
      <c r="D46" t="inlineStr">
        <is>
          <t>SKÅNE LÄN</t>
        </is>
      </c>
      <c r="E46" t="inlineStr">
        <is>
          <t>LUND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46116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20057-2025</t>
        </is>
      </c>
      <c r="B48" s="1" t="n">
        <v>45772</v>
      </c>
      <c r="C48" s="1" t="n">
        <v>46116</v>
      </c>
      <c r="D48" t="inlineStr">
        <is>
          <t>SKÅNE LÄN</t>
        </is>
      </c>
      <c r="E48" t="inlineStr">
        <is>
          <t>LUND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29247-2025</t>
        </is>
      </c>
      <c r="B49" s="1" t="n">
        <v>45824</v>
      </c>
      <c r="C49" s="1" t="n">
        <v>46116</v>
      </c>
      <c r="D49" t="inlineStr">
        <is>
          <t>SKÅNE LÄN</t>
        </is>
      </c>
      <c r="E49" t="inlineStr">
        <is>
          <t>LUND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34484-2025</t>
        </is>
      </c>
      <c r="B50" s="1" t="n">
        <v>45847.39517361111</v>
      </c>
      <c r="C50" s="1" t="n">
        <v>46116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2026-04-04T10:48:03Z</dcterms:created>
  <dcterms:modified xmlns:dcterms="http://purl.org/dc/terms/" xmlns:xsi="http://www.w3.org/2001/XMLSchema-instance" xsi:type="dcterms:W3CDTF">2026-04-04T10:48:04Z</dcterms:modified>
</cp:coreProperties>
</file>