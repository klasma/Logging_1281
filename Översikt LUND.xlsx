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45742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45742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45742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45742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45742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45742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10617-2025</t>
        </is>
      </c>
      <c r="B8" s="1" t="n">
        <v>45721</v>
      </c>
      <c r="C8" s="1" t="n">
        <v>45742</v>
      </c>
      <c r="D8" t="inlineStr">
        <is>
          <t>SKÅNE LÄN</t>
        </is>
      </c>
      <c r="E8" t="inlineStr">
        <is>
          <t>LUND</t>
        </is>
      </c>
      <c r="G8" t="n">
        <v>1.9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Lökgroda
Strandpadda</t>
        </is>
      </c>
      <c r="S8">
        <f>HYPERLINK("https://klasma.github.io/Logging_1281/artfynd/A 10617-2025 artfynd.xlsx", "A 10617-2025")</f>
        <v/>
      </c>
      <c r="T8">
        <f>HYPERLINK("https://klasma.github.io/Logging_1281/kartor/A 10617-2025 karta.png", "A 10617-2025")</f>
        <v/>
      </c>
      <c r="V8">
        <f>HYPERLINK("https://klasma.github.io/Logging_1281/klagomål/A 10617-2025 FSC-klagomål.docx", "A 10617-2025")</f>
        <v/>
      </c>
      <c r="W8">
        <f>HYPERLINK("https://klasma.github.io/Logging_1281/klagomålsmail/A 10617-2025 FSC-klagomål mail.docx", "A 10617-2025")</f>
        <v/>
      </c>
      <c r="X8">
        <f>HYPERLINK("https://klasma.github.io/Logging_1281/tillsyn/A 10617-2025 tillsynsbegäran.docx", "A 10617-2025")</f>
        <v/>
      </c>
      <c r="Y8">
        <f>HYPERLINK("https://klasma.github.io/Logging_1281/tillsynsmail/A 10617-2025 tillsynsbegäran mail.docx", "A 10617-2025")</f>
        <v/>
      </c>
    </row>
    <row r="9" ht="15" customHeight="1">
      <c r="A9" t="inlineStr">
        <is>
          <t>A 35443-2021</t>
        </is>
      </c>
      <c r="B9" s="1" t="n">
        <v>44385</v>
      </c>
      <c r="C9" s="1" t="n">
        <v>45742</v>
      </c>
      <c r="D9" t="inlineStr">
        <is>
          <t>SKÅNE LÄN</t>
        </is>
      </c>
      <c r="E9" t="inlineStr">
        <is>
          <t>LUND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Klubbfibbla</t>
        </is>
      </c>
      <c r="S9">
        <f>HYPERLINK("https://klasma.github.io/Logging_1281/artfynd/A 35443-2021 artfynd.xlsx", "A 35443-2021")</f>
        <v/>
      </c>
      <c r="T9">
        <f>HYPERLINK("https://klasma.github.io/Logging_1281/kartor/A 35443-2021 karta.png", "A 35443-2021")</f>
        <v/>
      </c>
      <c r="V9">
        <f>HYPERLINK("https://klasma.github.io/Logging_1281/klagomål/A 35443-2021 FSC-klagomål.docx", "A 35443-2021")</f>
        <v/>
      </c>
      <c r="W9">
        <f>HYPERLINK("https://klasma.github.io/Logging_1281/klagomålsmail/A 35443-2021 FSC-klagomål mail.docx", "A 35443-2021")</f>
        <v/>
      </c>
      <c r="X9">
        <f>HYPERLINK("https://klasma.github.io/Logging_1281/tillsyn/A 35443-2021 tillsynsbegäran.docx", "A 35443-2021")</f>
        <v/>
      </c>
      <c r="Y9">
        <f>HYPERLINK("https://klasma.github.io/Logging_1281/tillsynsmail/A 35443-2021 tillsynsbegäran mail.docx", "A 35443-2021")</f>
        <v/>
      </c>
    </row>
    <row r="10" ht="15" customHeight="1">
      <c r="A10" t="inlineStr">
        <is>
          <t>A 52355-2021</t>
        </is>
      </c>
      <c r="B10" s="1" t="n">
        <v>44464</v>
      </c>
      <c r="C10" s="1" t="n">
        <v>45742</v>
      </c>
      <c r="D10" t="inlineStr">
        <is>
          <t>SKÅNE LÄN</t>
        </is>
      </c>
      <c r="E10" t="inlineStr">
        <is>
          <t>LUND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HYPERLINK("https://klasma.github.io/Logging_1281/artfynd/A 52355-2021 artfynd.xlsx", "A 52355-2021")</f>
        <v/>
      </c>
      <c r="T10">
        <f>HYPERLINK("https://klasma.github.io/Logging_1281/kartor/A 52355-2021 karta.png", "A 52355-2021")</f>
        <v/>
      </c>
      <c r="V10">
        <f>HYPERLINK("https://klasma.github.io/Logging_1281/klagomål/A 52355-2021 FSC-klagomål.docx", "A 52355-2021")</f>
        <v/>
      </c>
      <c r="W10">
        <f>HYPERLINK("https://klasma.github.io/Logging_1281/klagomålsmail/A 52355-2021 FSC-klagomål mail.docx", "A 52355-2021")</f>
        <v/>
      </c>
      <c r="X10">
        <f>HYPERLINK("https://klasma.github.io/Logging_1281/tillsyn/A 52355-2021 tillsynsbegäran.docx", "A 52355-2021")</f>
        <v/>
      </c>
      <c r="Y10">
        <f>HYPERLINK("https://klasma.github.io/Logging_1281/tillsynsmail/A 52355-2021 tillsynsbegäran mail.docx", "A 52355-2021")</f>
        <v/>
      </c>
    </row>
    <row r="11" ht="15" customHeight="1">
      <c r="A11" t="inlineStr">
        <is>
          <t>A 72269-2021</t>
        </is>
      </c>
      <c r="B11" s="1" t="n">
        <v>44543</v>
      </c>
      <c r="C11" s="1" t="n">
        <v>45742</v>
      </c>
      <c r="D11" t="inlineStr">
        <is>
          <t>SKÅNE LÄN</t>
        </is>
      </c>
      <c r="E11" t="inlineStr">
        <is>
          <t>LUND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häxört</t>
        </is>
      </c>
      <c r="S11">
        <f>HYPERLINK("https://klasma.github.io/Logging_1281/artfynd/A 72269-2021 artfynd.xlsx", "A 72269-2021")</f>
        <v/>
      </c>
      <c r="T11">
        <f>HYPERLINK("https://klasma.github.io/Logging_1281/kartor/A 72269-2021 karta.png", "A 72269-2021")</f>
        <v/>
      </c>
      <c r="V11">
        <f>HYPERLINK("https://klasma.github.io/Logging_1281/klagomål/A 72269-2021 FSC-klagomål.docx", "A 72269-2021")</f>
        <v/>
      </c>
      <c r="W11">
        <f>HYPERLINK("https://klasma.github.io/Logging_1281/klagomålsmail/A 72269-2021 FSC-klagomål mail.docx", "A 72269-2021")</f>
        <v/>
      </c>
      <c r="X11">
        <f>HYPERLINK("https://klasma.github.io/Logging_1281/tillsyn/A 72269-2021 tillsynsbegäran.docx", "A 72269-2021")</f>
        <v/>
      </c>
      <c r="Y11">
        <f>HYPERLINK("https://klasma.github.io/Logging_1281/tillsynsmail/A 72269-2021 tillsynsbegäran mail.docx", "A 72269-2021")</f>
        <v/>
      </c>
    </row>
    <row r="12" ht="15" customHeight="1">
      <c r="A12" t="inlineStr">
        <is>
          <t>A 31764-2023</t>
        </is>
      </c>
      <c r="B12" s="1" t="n">
        <v>45118</v>
      </c>
      <c r="C12" s="1" t="n">
        <v>45742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Skorpdyna</t>
        </is>
      </c>
      <c r="S12">
        <f>HYPERLINK("https://klasma.github.io/Logging_1281/artfynd/A 31764-2023 artfynd.xlsx", "A 31764-2023")</f>
        <v/>
      </c>
      <c r="T12">
        <f>HYPERLINK("https://klasma.github.io/Logging_1281/kartor/A 31764-2023 karta.png", "A 31764-2023")</f>
        <v/>
      </c>
      <c r="V12">
        <f>HYPERLINK("https://klasma.github.io/Logging_1281/klagomål/A 31764-2023 FSC-klagomål.docx", "A 31764-2023")</f>
        <v/>
      </c>
      <c r="W12">
        <f>HYPERLINK("https://klasma.github.io/Logging_1281/klagomålsmail/A 31764-2023 FSC-klagomål mail.docx", "A 31764-2023")</f>
        <v/>
      </c>
      <c r="X12">
        <f>HYPERLINK("https://klasma.github.io/Logging_1281/tillsyn/A 31764-2023 tillsynsbegäran.docx", "A 31764-2023")</f>
        <v/>
      </c>
      <c r="Y12">
        <f>HYPERLINK("https://klasma.github.io/Logging_1281/tillsynsmail/A 31764-2023 tillsynsbegäran mail.docx", "A 31764-2023")</f>
        <v/>
      </c>
    </row>
    <row r="13" ht="15" customHeight="1">
      <c r="A13" t="inlineStr">
        <is>
          <t>A 55145-2023</t>
        </is>
      </c>
      <c r="B13" s="1" t="n">
        <v>45237</v>
      </c>
      <c r="C13" s="1" t="n">
        <v>45742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HYPERLINK("https://klasma.github.io/Logging_1281/artfynd/A 55145-2023 artfynd.xlsx", "A 55145-2023")</f>
        <v/>
      </c>
      <c r="T13">
        <f>HYPERLINK("https://klasma.github.io/Logging_1281/kartor/A 55145-2023 karta.png", "A 55145-2023")</f>
        <v/>
      </c>
      <c r="V13">
        <f>HYPERLINK("https://klasma.github.io/Logging_1281/klagomål/A 55145-2023 FSC-klagomål.docx", "A 55145-2023")</f>
        <v/>
      </c>
      <c r="W13">
        <f>HYPERLINK("https://klasma.github.io/Logging_1281/klagomålsmail/A 55145-2023 FSC-klagomål mail.docx", "A 55145-2023")</f>
        <v/>
      </c>
      <c r="X13">
        <f>HYPERLINK("https://klasma.github.io/Logging_1281/tillsyn/A 55145-2023 tillsynsbegäran.docx", "A 55145-2023")</f>
        <v/>
      </c>
      <c r="Y13">
        <f>HYPERLINK("https://klasma.github.io/Logging_1281/tillsynsmail/A 55145-2023 tillsynsbegäran mail.docx", "A 55145-2023")</f>
        <v/>
      </c>
    </row>
    <row r="14" ht="15" customHeight="1">
      <c r="A14" t="inlineStr">
        <is>
          <t>A 9758-2024</t>
        </is>
      </c>
      <c r="B14" s="1" t="n">
        <v>45362</v>
      </c>
      <c r="C14" s="1" t="n">
        <v>45742</v>
      </c>
      <c r="D14" t="inlineStr">
        <is>
          <t>SKÅNE LÄN</t>
        </is>
      </c>
      <c r="E14" t="inlineStr">
        <is>
          <t>LUND</t>
        </is>
      </c>
      <c r="G14" t="n">
        <v>12.4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HYPERLINK("https://klasma.github.io/Logging_1281/artfynd/A 9758-2024 artfynd.xlsx", "A 9758-2024")</f>
        <v/>
      </c>
      <c r="T14">
        <f>HYPERLINK("https://klasma.github.io/Logging_1281/kartor/A 9758-2024 karta.png", "A 9758-2024")</f>
        <v/>
      </c>
      <c r="V14">
        <f>HYPERLINK("https://klasma.github.io/Logging_1281/klagomål/A 9758-2024 FSC-klagomål.docx", "A 9758-2024")</f>
        <v/>
      </c>
      <c r="W14">
        <f>HYPERLINK("https://klasma.github.io/Logging_1281/klagomålsmail/A 9758-2024 FSC-klagomål mail.docx", "A 9758-2024")</f>
        <v/>
      </c>
      <c r="X14">
        <f>HYPERLINK("https://klasma.github.io/Logging_1281/tillsyn/A 9758-2024 tillsynsbegäran.docx", "A 9758-2024")</f>
        <v/>
      </c>
      <c r="Y14">
        <f>HYPERLINK("https://klasma.github.io/Logging_1281/tillsynsmail/A 9758-2024 tillsynsbegäran mail.docx", "A 9758-2024")</f>
        <v/>
      </c>
    </row>
    <row r="15" ht="15" customHeight="1">
      <c r="A15" t="inlineStr">
        <is>
          <t>A 11731-2024</t>
        </is>
      </c>
      <c r="B15" s="1" t="n">
        <v>45373</v>
      </c>
      <c r="C15" s="1" t="n">
        <v>45742</v>
      </c>
      <c r="D15" t="inlineStr">
        <is>
          <t>SKÅNE LÄN</t>
        </is>
      </c>
      <c r="E15" t="inlineStr">
        <is>
          <t>LUND</t>
        </is>
      </c>
      <c r="G15" t="n">
        <v>14.5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HYPERLINK("https://klasma.github.io/Logging_1281/artfynd/A 11731-2024 artfynd.xlsx", "A 11731-2024")</f>
        <v/>
      </c>
      <c r="T15">
        <f>HYPERLINK("https://klasma.github.io/Logging_1281/kartor/A 11731-2024 karta.png", "A 11731-2024")</f>
        <v/>
      </c>
      <c r="V15">
        <f>HYPERLINK("https://klasma.github.io/Logging_1281/klagomål/A 11731-2024 FSC-klagomål.docx", "A 11731-2024")</f>
        <v/>
      </c>
      <c r="W15">
        <f>HYPERLINK("https://klasma.github.io/Logging_1281/klagomålsmail/A 11731-2024 FSC-klagomål mail.docx", "A 11731-2024")</f>
        <v/>
      </c>
      <c r="X15">
        <f>HYPERLINK("https://klasma.github.io/Logging_1281/tillsyn/A 11731-2024 tillsynsbegäran.docx", "A 11731-2024")</f>
        <v/>
      </c>
      <c r="Y15">
        <f>HYPERLINK("https://klasma.github.io/Logging_1281/tillsynsmail/A 11731-2024 tillsynsbegäran mail.docx", "A 11731-2024")</f>
        <v/>
      </c>
    </row>
    <row r="16" ht="15" customHeight="1">
      <c r="A16" t="inlineStr">
        <is>
          <t>A 4746-2025</t>
        </is>
      </c>
      <c r="B16" s="1" t="n">
        <v>45688</v>
      </c>
      <c r="C16" s="1" t="n">
        <v>45742</v>
      </c>
      <c r="D16" t="inlineStr">
        <is>
          <t>SKÅNE LÄN</t>
        </is>
      </c>
      <c r="E16" t="inlineStr">
        <is>
          <t>LUND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HYPERLINK("https://klasma.github.io/Logging_1281/artfynd/A 4746-2025 artfynd.xlsx", "A 4746-2025")</f>
        <v/>
      </c>
      <c r="T16">
        <f>HYPERLINK("https://klasma.github.io/Logging_1281/kartor/A 4746-2025 karta.png", "A 4746-2025")</f>
        <v/>
      </c>
      <c r="V16">
        <f>HYPERLINK("https://klasma.github.io/Logging_1281/klagomål/A 4746-2025 FSC-klagomål.docx", "A 4746-2025")</f>
        <v/>
      </c>
      <c r="W16">
        <f>HYPERLINK("https://klasma.github.io/Logging_1281/klagomålsmail/A 4746-2025 FSC-klagomål mail.docx", "A 4746-2025")</f>
        <v/>
      </c>
      <c r="X16">
        <f>HYPERLINK("https://klasma.github.io/Logging_1281/tillsyn/A 4746-2025 tillsynsbegäran.docx", "A 4746-2025")</f>
        <v/>
      </c>
      <c r="Y16">
        <f>HYPERLINK("https://klasma.github.io/Logging_1281/tillsynsmail/A 4746-2025 tillsynsbegäran mail.docx", "A 4746-2025")</f>
        <v/>
      </c>
      <c r="Z16">
        <f>HYPERLINK("https://klasma.github.io/Logging_1281/fåglar/A 4746-2025 prioriterade fågelarter.docx", "A 4746-2025")</f>
        <v/>
      </c>
    </row>
    <row r="17" ht="15" customHeight="1">
      <c r="A17" t="inlineStr">
        <is>
          <t>A 4816-2025</t>
        </is>
      </c>
      <c r="B17" s="1" t="n">
        <v>45688</v>
      </c>
      <c r="C17" s="1" t="n">
        <v>45742</v>
      </c>
      <c r="D17" t="inlineStr">
        <is>
          <t>SKÅNE LÄN</t>
        </is>
      </c>
      <c r="E17" t="inlineStr">
        <is>
          <t>LUND</t>
        </is>
      </c>
      <c r="G17" t="n">
        <v>7.7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HYPERLINK("https://klasma.github.io/Logging_1281/artfynd/A 4816-2025 artfynd.xlsx", "A 4816-2025")</f>
        <v/>
      </c>
      <c r="T17">
        <f>HYPERLINK("https://klasma.github.io/Logging_1281/kartor/A 4816-2025 karta.png", "A 4816-2025")</f>
        <v/>
      </c>
      <c r="V17">
        <f>HYPERLINK("https://klasma.github.io/Logging_1281/klagomål/A 4816-2025 FSC-klagomål.docx", "A 4816-2025")</f>
        <v/>
      </c>
      <c r="W17">
        <f>HYPERLINK("https://klasma.github.io/Logging_1281/klagomålsmail/A 4816-2025 FSC-klagomål mail.docx", "A 4816-2025")</f>
        <v/>
      </c>
      <c r="X17">
        <f>HYPERLINK("https://klasma.github.io/Logging_1281/tillsyn/A 4816-2025 tillsynsbegäran.docx", "A 4816-2025")</f>
        <v/>
      </c>
      <c r="Y17">
        <f>HYPERLINK("https://klasma.github.io/Logging_1281/tillsynsmail/A 4816-2025 tillsynsbegäran mail.docx", "A 4816-2025")</f>
        <v/>
      </c>
    </row>
    <row r="18" ht="15" customHeight="1">
      <c r="A18" t="inlineStr">
        <is>
          <t>A 4792-2025</t>
        </is>
      </c>
      <c r="B18" s="1" t="n">
        <v>45688</v>
      </c>
      <c r="C18" s="1" t="n">
        <v>45742</v>
      </c>
      <c r="D18" t="inlineStr">
        <is>
          <t>SKÅNE LÄN</t>
        </is>
      </c>
      <c r="E18" t="inlineStr">
        <is>
          <t>LUND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Oxtungssvamp</t>
        </is>
      </c>
      <c r="S18">
        <f>HYPERLINK("https://klasma.github.io/Logging_1281/artfynd/A 4792-2025 artfynd.xlsx", "A 4792-2025")</f>
        <v/>
      </c>
      <c r="T18">
        <f>HYPERLINK("https://klasma.github.io/Logging_1281/kartor/A 4792-2025 karta.png", "A 4792-2025")</f>
        <v/>
      </c>
      <c r="V18">
        <f>HYPERLINK("https://klasma.github.io/Logging_1281/klagomål/A 4792-2025 FSC-klagomål.docx", "A 4792-2025")</f>
        <v/>
      </c>
      <c r="W18">
        <f>HYPERLINK("https://klasma.github.io/Logging_1281/klagomålsmail/A 4792-2025 FSC-klagomål mail.docx", "A 4792-2025")</f>
        <v/>
      </c>
      <c r="X18">
        <f>HYPERLINK("https://klasma.github.io/Logging_1281/tillsyn/A 4792-2025 tillsynsbegäran.docx", "A 4792-2025")</f>
        <v/>
      </c>
      <c r="Y18">
        <f>HYPERLINK("https://klasma.github.io/Logging_1281/tillsynsmail/A 4792-2025 tillsynsbegäran mail.docx", "A 4792-2025")</f>
        <v/>
      </c>
    </row>
    <row r="19" ht="15" customHeight="1">
      <c r="A19" t="inlineStr">
        <is>
          <t>A 13182-2025</t>
        </is>
      </c>
      <c r="B19" s="1" t="n">
        <v>45735</v>
      </c>
      <c r="C19" s="1" t="n">
        <v>45742</v>
      </c>
      <c r="D19" t="inlineStr">
        <is>
          <t>SKÅNE LÄN</t>
        </is>
      </c>
      <c r="E19" t="inlineStr">
        <is>
          <t>LUND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Klubbfibbla</t>
        </is>
      </c>
      <c r="S19">
        <f>HYPERLINK("https://klasma.github.io/Logging_1281/artfynd/A 13182-2025 artfynd.xlsx", "A 13182-2025")</f>
        <v/>
      </c>
      <c r="T19">
        <f>HYPERLINK("https://klasma.github.io/Logging_1281/kartor/A 13182-2025 karta.png", "A 13182-2025")</f>
        <v/>
      </c>
      <c r="V19">
        <f>HYPERLINK("https://klasma.github.io/Logging_1281/klagomål/A 13182-2025 FSC-klagomål.docx", "A 13182-2025")</f>
        <v/>
      </c>
      <c r="W19">
        <f>HYPERLINK("https://klasma.github.io/Logging_1281/klagomålsmail/A 13182-2025 FSC-klagomål mail.docx", "A 13182-2025")</f>
        <v/>
      </c>
      <c r="X19">
        <f>HYPERLINK("https://klasma.github.io/Logging_1281/tillsyn/A 13182-2025 tillsynsbegäran.docx", "A 13182-2025")</f>
        <v/>
      </c>
      <c r="Y19">
        <f>HYPERLINK("https://klasma.github.io/Logging_1281/tillsynsmail/A 13182-2025 tillsynsbegäran mail.docx", "A 13182-2025")</f>
        <v/>
      </c>
    </row>
    <row r="20" ht="15" customHeight="1">
      <c r="A20" t="inlineStr">
        <is>
          <t>A 25866-2019</t>
        </is>
      </c>
      <c r="B20" s="1" t="n">
        <v>43605</v>
      </c>
      <c r="C20" s="1" t="n">
        <v>45742</v>
      </c>
      <c r="D20" t="inlineStr">
        <is>
          <t>SKÅNE LÄN</t>
        </is>
      </c>
      <c r="E20" t="inlineStr">
        <is>
          <t>LUND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29534-2019</t>
        </is>
      </c>
      <c r="B21" s="1" t="n">
        <v>43630</v>
      </c>
      <c r="C21" s="1" t="n">
        <v>45742</v>
      </c>
      <c r="D21" t="inlineStr">
        <is>
          <t>SKÅNE LÄN</t>
        </is>
      </c>
      <c r="E21" t="inlineStr">
        <is>
          <t>LUND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44783-2019</t>
        </is>
      </c>
      <c r="B22" s="1" t="n">
        <v>43707</v>
      </c>
      <c r="C22" s="1" t="n">
        <v>45742</v>
      </c>
      <c r="D22" t="inlineStr">
        <is>
          <t>SKÅNE LÄN</t>
        </is>
      </c>
      <c r="E22" t="inlineStr">
        <is>
          <t>LUND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45374-2019</t>
        </is>
      </c>
      <c r="B23" s="1" t="n">
        <v>43714</v>
      </c>
      <c r="C23" s="1" t="n">
        <v>45742</v>
      </c>
      <c r="D23" t="inlineStr">
        <is>
          <t>SKÅNE LÄN</t>
        </is>
      </c>
      <c r="E23" t="inlineStr">
        <is>
          <t>LUND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45372-2019</t>
        </is>
      </c>
      <c r="B24" s="1" t="n">
        <v>43714</v>
      </c>
      <c r="C24" s="1" t="n">
        <v>45742</v>
      </c>
      <c r="D24" t="inlineStr">
        <is>
          <t>SKÅNE LÄN</t>
        </is>
      </c>
      <c r="E24" t="inlineStr">
        <is>
          <t>LUND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6005-2020</t>
        </is>
      </c>
      <c r="B25" s="1" t="n">
        <v>43865</v>
      </c>
      <c r="C25" s="1" t="n">
        <v>45742</v>
      </c>
      <c r="D25" t="inlineStr">
        <is>
          <t>SKÅNE LÄN</t>
        </is>
      </c>
      <c r="E25" t="inlineStr">
        <is>
          <t>LUND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38688-2020</t>
        </is>
      </c>
      <c r="B26" s="1" t="n">
        <v>44061</v>
      </c>
      <c r="C26" s="1" t="n">
        <v>45742</v>
      </c>
      <c r="D26" t="inlineStr">
        <is>
          <t>SKÅNE LÄN</t>
        </is>
      </c>
      <c r="E26" t="inlineStr">
        <is>
          <t>LUND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48295-2020</t>
        </is>
      </c>
      <c r="B27" s="1" t="n">
        <v>44102</v>
      </c>
      <c r="C27" s="1" t="n">
        <v>45742</v>
      </c>
      <c r="D27" t="inlineStr">
        <is>
          <t>SKÅNE LÄN</t>
        </is>
      </c>
      <c r="E27" t="inlineStr">
        <is>
          <t>LUND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13194-2021</t>
        </is>
      </c>
      <c r="B28" s="1" t="n">
        <v>44272</v>
      </c>
      <c r="C28" s="1" t="n">
        <v>45742</v>
      </c>
      <c r="D28" t="inlineStr">
        <is>
          <t>SKÅNE LÄN</t>
        </is>
      </c>
      <c r="E28" t="inlineStr">
        <is>
          <t>LUND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22411-2021</t>
        </is>
      </c>
      <c r="B29" s="1" t="n">
        <v>44326</v>
      </c>
      <c r="C29" s="1" t="n">
        <v>45742</v>
      </c>
      <c r="D29" t="inlineStr">
        <is>
          <t>SKÅNE LÄN</t>
        </is>
      </c>
      <c r="E29" t="inlineStr">
        <is>
          <t>LUND</t>
        </is>
      </c>
      <c r="F29" t="inlineStr">
        <is>
          <t>Kommuner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24358-2021</t>
        </is>
      </c>
      <c r="B30" s="1" t="n">
        <v>44337</v>
      </c>
      <c r="C30" s="1" t="n">
        <v>45742</v>
      </c>
      <c r="D30" t="inlineStr">
        <is>
          <t>SKÅNE LÄN</t>
        </is>
      </c>
      <c r="E30" t="inlineStr">
        <is>
          <t>LUND</t>
        </is>
      </c>
      <c r="F30" t="inlineStr">
        <is>
          <t>Kommuner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32893-2021</t>
        </is>
      </c>
      <c r="B31" s="1" t="n">
        <v>44375</v>
      </c>
      <c r="C31" s="1" t="n">
        <v>45742</v>
      </c>
      <c r="D31" t="inlineStr">
        <is>
          <t>SKÅNE LÄN</t>
        </is>
      </c>
      <c r="E31" t="inlineStr">
        <is>
          <t>LUND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33983-2021</t>
        </is>
      </c>
      <c r="B32" s="1" t="n">
        <v>44378</v>
      </c>
      <c r="C32" s="1" t="n">
        <v>45742</v>
      </c>
      <c r="D32" t="inlineStr">
        <is>
          <t>SKÅNE LÄN</t>
        </is>
      </c>
      <c r="E32" t="inlineStr">
        <is>
          <t>LUND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33985-2021</t>
        </is>
      </c>
      <c r="B33" s="1" t="n">
        <v>44378</v>
      </c>
      <c r="C33" s="1" t="n">
        <v>45742</v>
      </c>
      <c r="D33" t="inlineStr">
        <is>
          <t>SKÅNE LÄN</t>
        </is>
      </c>
      <c r="E33" t="inlineStr">
        <is>
          <t>LUND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33984-2021</t>
        </is>
      </c>
      <c r="B34" s="1" t="n">
        <v>44378</v>
      </c>
      <c r="C34" s="1" t="n">
        <v>45742</v>
      </c>
      <c r="D34" t="inlineStr">
        <is>
          <t>SKÅNE LÄN</t>
        </is>
      </c>
      <c r="E34" t="inlineStr">
        <is>
          <t>LUND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56855-2021</t>
        </is>
      </c>
      <c r="B35" s="1" t="n">
        <v>44481</v>
      </c>
      <c r="C35" s="1" t="n">
        <v>45742</v>
      </c>
      <c r="D35" t="inlineStr">
        <is>
          <t>SKÅNE LÄN</t>
        </is>
      </c>
      <c r="E35" t="inlineStr">
        <is>
          <t>LUND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68005-2021</t>
        </is>
      </c>
      <c r="B36" s="1" t="n">
        <v>44525</v>
      </c>
      <c r="C36" s="1" t="n">
        <v>45742</v>
      </c>
      <c r="D36" t="inlineStr">
        <is>
          <t>SKÅNE LÄN</t>
        </is>
      </c>
      <c r="E36" t="inlineStr">
        <is>
          <t>LUND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13754-2022</t>
        </is>
      </c>
      <c r="B37" s="1" t="n">
        <v>44649</v>
      </c>
      <c r="C37" s="1" t="n">
        <v>45742</v>
      </c>
      <c r="D37" t="inlineStr">
        <is>
          <t>SKÅNE LÄN</t>
        </is>
      </c>
      <c r="E37" t="inlineStr">
        <is>
          <t>LUND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18873-2022</t>
        </is>
      </c>
      <c r="B38" s="1" t="n">
        <v>44690</v>
      </c>
      <c r="C38" s="1" t="n">
        <v>45742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28885-2022</t>
        </is>
      </c>
      <c r="B39" s="1" t="n">
        <v>44749</v>
      </c>
      <c r="C39" s="1" t="n">
        <v>45742</v>
      </c>
      <c r="D39" t="inlineStr">
        <is>
          <t>SKÅNE LÄN</t>
        </is>
      </c>
      <c r="E39" t="inlineStr">
        <is>
          <t>LUND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45725-2022</t>
        </is>
      </c>
      <c r="B40" s="1" t="n">
        <v>44846</v>
      </c>
      <c r="C40" s="1" t="n">
        <v>45742</v>
      </c>
      <c r="D40" t="inlineStr">
        <is>
          <t>SKÅNE LÄN</t>
        </is>
      </c>
      <c r="E40" t="inlineStr">
        <is>
          <t>LUND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45771-2022</t>
        </is>
      </c>
      <c r="B41" s="1" t="n">
        <v>44846</v>
      </c>
      <c r="C41" s="1" t="n">
        <v>45742</v>
      </c>
      <c r="D41" t="inlineStr">
        <is>
          <t>SKÅNE LÄN</t>
        </is>
      </c>
      <c r="E41" t="inlineStr">
        <is>
          <t>LUND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59338-2022</t>
        </is>
      </c>
      <c r="B42" s="1" t="n">
        <v>44904</v>
      </c>
      <c r="C42" s="1" t="n">
        <v>45742</v>
      </c>
      <c r="D42" t="inlineStr">
        <is>
          <t>SKÅNE LÄN</t>
        </is>
      </c>
      <c r="E42" t="inlineStr">
        <is>
          <t>LUND</t>
        </is>
      </c>
      <c r="G42" t="n">
        <v>12.9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59918-2022</t>
        </is>
      </c>
      <c r="B43" s="1" t="n">
        <v>44909</v>
      </c>
      <c r="C43" s="1" t="n">
        <v>45742</v>
      </c>
      <c r="D43" t="inlineStr">
        <is>
          <t>SKÅNE LÄN</t>
        </is>
      </c>
      <c r="E43" t="inlineStr">
        <is>
          <t>LUND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8601-2023</t>
        </is>
      </c>
      <c r="B44" s="1" t="n">
        <v>44977</v>
      </c>
      <c r="C44" s="1" t="n">
        <v>45742</v>
      </c>
      <c r="D44" t="inlineStr">
        <is>
          <t>SKÅNE LÄN</t>
        </is>
      </c>
      <c r="E44" t="inlineStr">
        <is>
          <t>LUND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17519-2023</t>
        </is>
      </c>
      <c r="B45" s="1" t="n">
        <v>45036</v>
      </c>
      <c r="C45" s="1" t="n">
        <v>45742</v>
      </c>
      <c r="D45" t="inlineStr">
        <is>
          <t>SKÅNE LÄN</t>
        </is>
      </c>
      <c r="E45" t="inlineStr">
        <is>
          <t>LUND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21767-2023</t>
        </is>
      </c>
      <c r="B46" s="1" t="n">
        <v>45065</v>
      </c>
      <c r="C46" s="1" t="n">
        <v>45742</v>
      </c>
      <c r="D46" t="inlineStr">
        <is>
          <t>SKÅNE LÄN</t>
        </is>
      </c>
      <c r="E46" t="inlineStr">
        <is>
          <t>LUND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27983-2023</t>
        </is>
      </c>
      <c r="B47" s="1" t="n">
        <v>45098</v>
      </c>
      <c r="C47" s="1" t="n">
        <v>45742</v>
      </c>
      <c r="D47" t="inlineStr">
        <is>
          <t>SKÅNE LÄN</t>
        </is>
      </c>
      <c r="E47" t="inlineStr">
        <is>
          <t>LUND</t>
        </is>
      </c>
      <c r="G47" t="n">
        <v>37.6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29036-2023</t>
        </is>
      </c>
      <c r="B48" s="1" t="n">
        <v>45104</v>
      </c>
      <c r="C48" s="1" t="n">
        <v>45742</v>
      </c>
      <c r="D48" t="inlineStr">
        <is>
          <t>SKÅNE LÄN</t>
        </is>
      </c>
      <c r="E48" t="inlineStr">
        <is>
          <t>LUND</t>
        </is>
      </c>
      <c r="G48" t="n">
        <v>10.6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29075-2023</t>
        </is>
      </c>
      <c r="B49" s="1" t="n">
        <v>45104</v>
      </c>
      <c r="C49" s="1" t="n">
        <v>45742</v>
      </c>
      <c r="D49" t="inlineStr">
        <is>
          <t>SKÅNE LÄN</t>
        </is>
      </c>
      <c r="E49" t="inlineStr">
        <is>
          <t>LUND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29074-2023</t>
        </is>
      </c>
      <c r="B50" s="1" t="n">
        <v>45104</v>
      </c>
      <c r="C50" s="1" t="n">
        <v>45742</v>
      </c>
      <c r="D50" t="inlineStr">
        <is>
          <t>SKÅNE LÄN</t>
        </is>
      </c>
      <c r="E50" t="inlineStr">
        <is>
          <t>LUND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29083-2023</t>
        </is>
      </c>
      <c r="B51" s="1" t="n">
        <v>45105</v>
      </c>
      <c r="C51" s="1" t="n">
        <v>45742</v>
      </c>
      <c r="D51" t="inlineStr">
        <is>
          <t>SKÅNE LÄN</t>
        </is>
      </c>
      <c r="E51" t="inlineStr">
        <is>
          <t>LUND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31773-2023</t>
        </is>
      </c>
      <c r="B52" s="1" t="n">
        <v>45118</v>
      </c>
      <c r="C52" s="1" t="n">
        <v>45742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44646-2023</t>
        </is>
      </c>
      <c r="B53" s="1" t="n">
        <v>45189</v>
      </c>
      <c r="C53" s="1" t="n">
        <v>45742</v>
      </c>
      <c r="D53" t="inlineStr">
        <is>
          <t>SKÅNE LÄN</t>
        </is>
      </c>
      <c r="E53" t="inlineStr">
        <is>
          <t>LUND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49297-2023</t>
        </is>
      </c>
      <c r="B54" s="1" t="n">
        <v>45210</v>
      </c>
      <c r="C54" s="1" t="n">
        <v>45742</v>
      </c>
      <c r="D54" t="inlineStr">
        <is>
          <t>SKÅNE LÄN</t>
        </is>
      </c>
      <c r="E54" t="inlineStr">
        <is>
          <t>LUND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55154-2023</t>
        </is>
      </c>
      <c r="B55" s="1" t="n">
        <v>45237</v>
      </c>
      <c r="C55" s="1" t="n">
        <v>45742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55148-2023</t>
        </is>
      </c>
      <c r="B56" s="1" t="n">
        <v>45237</v>
      </c>
      <c r="C56" s="1" t="n">
        <v>45742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7.5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55147-2023</t>
        </is>
      </c>
      <c r="B57" s="1" t="n">
        <v>45237</v>
      </c>
      <c r="C57" s="1" t="n">
        <v>45742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13.5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55152-2023</t>
        </is>
      </c>
      <c r="B58" s="1" t="n">
        <v>45237</v>
      </c>
      <c r="C58" s="1" t="n">
        <v>45742</v>
      </c>
      <c r="D58" t="inlineStr">
        <is>
          <t>SKÅNE LÄN</t>
        </is>
      </c>
      <c r="E58" t="inlineStr">
        <is>
          <t>LUND</t>
        </is>
      </c>
      <c r="F58" t="inlineStr">
        <is>
          <t>Kommuner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55158-2023</t>
        </is>
      </c>
      <c r="B59" s="1" t="n">
        <v>45237</v>
      </c>
      <c r="C59" s="1" t="n">
        <v>45742</v>
      </c>
      <c r="D59" t="inlineStr">
        <is>
          <t>SKÅNE LÄN</t>
        </is>
      </c>
      <c r="E59" t="inlineStr">
        <is>
          <t>LUND</t>
        </is>
      </c>
      <c r="F59" t="inlineStr">
        <is>
          <t>Kommuner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59733-2023</t>
        </is>
      </c>
      <c r="B60" s="1" t="n">
        <v>45257</v>
      </c>
      <c r="C60" s="1" t="n">
        <v>45742</v>
      </c>
      <c r="D60" t="inlineStr">
        <is>
          <t>SKÅNE LÄN</t>
        </is>
      </c>
      <c r="E60" t="inlineStr">
        <is>
          <t>LUND</t>
        </is>
      </c>
      <c r="G60" t="n">
        <v>8.9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678-2024</t>
        </is>
      </c>
      <c r="B61" s="1" t="n">
        <v>45300</v>
      </c>
      <c r="C61" s="1" t="n">
        <v>45742</v>
      </c>
      <c r="D61" t="inlineStr">
        <is>
          <t>SKÅNE LÄN</t>
        </is>
      </c>
      <c r="E61" t="inlineStr">
        <is>
          <t>LUND</t>
        </is>
      </c>
      <c r="F61" t="inlineStr">
        <is>
          <t>Kommuner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11016-2024</t>
        </is>
      </c>
      <c r="B62" s="1" t="n">
        <v>45370</v>
      </c>
      <c r="C62" s="1" t="n">
        <v>45742</v>
      </c>
      <c r="D62" t="inlineStr">
        <is>
          <t>SKÅNE LÄN</t>
        </is>
      </c>
      <c r="E62" t="inlineStr">
        <is>
          <t>LUND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11726-2024</t>
        </is>
      </c>
      <c r="B63" s="1" t="n">
        <v>45373</v>
      </c>
      <c r="C63" s="1" t="n">
        <v>45742</v>
      </c>
      <c r="D63" t="inlineStr">
        <is>
          <t>SKÅNE LÄN</t>
        </is>
      </c>
      <c r="E63" t="inlineStr">
        <is>
          <t>LUND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11727-2024</t>
        </is>
      </c>
      <c r="B64" s="1" t="n">
        <v>45373</v>
      </c>
      <c r="C64" s="1" t="n">
        <v>45742</v>
      </c>
      <c r="D64" t="inlineStr">
        <is>
          <t>SKÅNE LÄN</t>
        </is>
      </c>
      <c r="E64" t="inlineStr">
        <is>
          <t>LUND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11732-2024</t>
        </is>
      </c>
      <c r="B65" s="1" t="n">
        <v>45373</v>
      </c>
      <c r="C65" s="1" t="n">
        <v>45742</v>
      </c>
      <c r="D65" t="inlineStr">
        <is>
          <t>SKÅNE LÄN</t>
        </is>
      </c>
      <c r="E65" t="inlineStr">
        <is>
          <t>LUND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16323-2024</t>
        </is>
      </c>
      <c r="B66" s="1" t="n">
        <v>45407</v>
      </c>
      <c r="C66" s="1" t="n">
        <v>45742</v>
      </c>
      <c r="D66" t="inlineStr">
        <is>
          <t>SKÅNE LÄN</t>
        </is>
      </c>
      <c r="E66" t="inlineStr">
        <is>
          <t>LUND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25431-2024</t>
        </is>
      </c>
      <c r="B67" s="1" t="n">
        <v>45463</v>
      </c>
      <c r="C67" s="1" t="n">
        <v>45742</v>
      </c>
      <c r="D67" t="inlineStr">
        <is>
          <t>SKÅNE LÄN</t>
        </is>
      </c>
      <c r="E67" t="inlineStr">
        <is>
          <t>LUND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25421-2024</t>
        </is>
      </c>
      <c r="B68" s="1" t="n">
        <v>45463</v>
      </c>
      <c r="C68" s="1" t="n">
        <v>45742</v>
      </c>
      <c r="D68" t="inlineStr">
        <is>
          <t>SKÅNE LÄN</t>
        </is>
      </c>
      <c r="E68" t="inlineStr">
        <is>
          <t>LUND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32976-2024</t>
        </is>
      </c>
      <c r="B69" s="1" t="n">
        <v>45517</v>
      </c>
      <c r="C69" s="1" t="n">
        <v>45742</v>
      </c>
      <c r="D69" t="inlineStr">
        <is>
          <t>SKÅNE LÄN</t>
        </is>
      </c>
      <c r="E69" t="inlineStr">
        <is>
          <t>LUND</t>
        </is>
      </c>
      <c r="F69" t="inlineStr">
        <is>
          <t>Kommuner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32972-2024</t>
        </is>
      </c>
      <c r="B70" s="1" t="n">
        <v>45517</v>
      </c>
      <c r="C70" s="1" t="n">
        <v>45742</v>
      </c>
      <c r="D70" t="inlineStr">
        <is>
          <t>SKÅNE LÄN</t>
        </is>
      </c>
      <c r="E70" t="inlineStr">
        <is>
          <t>LUND</t>
        </is>
      </c>
      <c r="F70" t="inlineStr">
        <is>
          <t>Kommuner</t>
        </is>
      </c>
      <c r="G70" t="n">
        <v>20.7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43512-2024</t>
        </is>
      </c>
      <c r="B71" s="1" t="n">
        <v>45569</v>
      </c>
      <c r="C71" s="1" t="n">
        <v>45742</v>
      </c>
      <c r="D71" t="inlineStr">
        <is>
          <t>SKÅNE LÄN</t>
        </is>
      </c>
      <c r="E71" t="inlineStr">
        <is>
          <t>LUND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2248-2025</t>
        </is>
      </c>
      <c r="B72" s="1" t="n">
        <v>45673</v>
      </c>
      <c r="C72" s="1" t="n">
        <v>45742</v>
      </c>
      <c r="D72" t="inlineStr">
        <is>
          <t>SKÅNE LÄN</t>
        </is>
      </c>
      <c r="E72" t="inlineStr">
        <is>
          <t>LUND</t>
        </is>
      </c>
      <c r="G72" t="n">
        <v>11.7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4761-2025</t>
        </is>
      </c>
      <c r="B73" s="1" t="n">
        <v>45688</v>
      </c>
      <c r="C73" s="1" t="n">
        <v>45742</v>
      </c>
      <c r="D73" t="inlineStr">
        <is>
          <t>SKÅNE LÄN</t>
        </is>
      </c>
      <c r="E73" t="inlineStr">
        <is>
          <t>LUND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4755-2025</t>
        </is>
      </c>
      <c r="B74" s="1" t="n">
        <v>45688</v>
      </c>
      <c r="C74" s="1" t="n">
        <v>45742</v>
      </c>
      <c r="D74" t="inlineStr">
        <is>
          <t>SKÅNE LÄN</t>
        </is>
      </c>
      <c r="E74" t="inlineStr">
        <is>
          <t>LUND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4811-2025</t>
        </is>
      </c>
      <c r="B75" s="1" t="n">
        <v>45688</v>
      </c>
      <c r="C75" s="1" t="n">
        <v>45742</v>
      </c>
      <c r="D75" t="inlineStr">
        <is>
          <t>SKÅNE LÄN</t>
        </is>
      </c>
      <c r="E75" t="inlineStr">
        <is>
          <t>LUND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4803-2025</t>
        </is>
      </c>
      <c r="B76" s="1" t="n">
        <v>45688</v>
      </c>
      <c r="C76" s="1" t="n">
        <v>45742</v>
      </c>
      <c r="D76" t="inlineStr">
        <is>
          <t>SKÅNE LÄN</t>
        </is>
      </c>
      <c r="E76" t="inlineStr">
        <is>
          <t>LUND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4788-2025</t>
        </is>
      </c>
      <c r="B77" s="1" t="n">
        <v>45688</v>
      </c>
      <c r="C77" s="1" t="n">
        <v>45742</v>
      </c>
      <c r="D77" t="inlineStr">
        <is>
          <t>SKÅNE LÄN</t>
        </is>
      </c>
      <c r="E77" t="inlineStr">
        <is>
          <t>LUND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5059-2025</t>
        </is>
      </c>
      <c r="B78" s="1" t="n">
        <v>45691</v>
      </c>
      <c r="C78" s="1" t="n">
        <v>45742</v>
      </c>
      <c r="D78" t="inlineStr">
        <is>
          <t>SKÅNE LÄN</t>
        </is>
      </c>
      <c r="E78" t="inlineStr">
        <is>
          <t>LUND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6034-2025</t>
        </is>
      </c>
      <c r="B79" s="1" t="n">
        <v>45695</v>
      </c>
      <c r="C79" s="1" t="n">
        <v>45742</v>
      </c>
      <c r="D79" t="inlineStr">
        <is>
          <t>SKÅNE LÄN</t>
        </is>
      </c>
      <c r="E79" t="inlineStr">
        <is>
          <t>LUND</t>
        </is>
      </c>
      <c r="G79" t="n">
        <v>10.2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7174-2025</t>
        </is>
      </c>
      <c r="B80" s="1" t="n">
        <v>45702</v>
      </c>
      <c r="C80" s="1" t="n">
        <v>45742</v>
      </c>
      <c r="D80" t="inlineStr">
        <is>
          <t>SKÅNE LÄN</t>
        </is>
      </c>
      <c r="E80" t="inlineStr">
        <is>
          <t>LUND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9360-2025</t>
        </is>
      </c>
      <c r="B81" s="1" t="n">
        <v>45715</v>
      </c>
      <c r="C81" s="1" t="n">
        <v>45742</v>
      </c>
      <c r="D81" t="inlineStr">
        <is>
          <t>SKÅNE LÄN</t>
        </is>
      </c>
      <c r="E81" t="inlineStr">
        <is>
          <t>LUND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>
      <c r="A82" t="inlineStr">
        <is>
          <t>A 14058-2025</t>
        </is>
      </c>
      <c r="B82" s="1" t="n">
        <v>45740</v>
      </c>
      <c r="C82" s="1" t="n">
        <v>45742</v>
      </c>
      <c r="D82" t="inlineStr">
        <is>
          <t>SKÅNE LÄN</t>
        </is>
      </c>
      <c r="E82" t="inlineStr">
        <is>
          <t>LUND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2025-03-26T17:39:52Z</dcterms:created>
  <dcterms:modified xmlns:dcterms="http://purl.org/dc/terms/" xmlns:xsi="http://www.w3.org/2001/XMLSchema-instance" xsi:type="dcterms:W3CDTF">2025-03-26T17:39:52Z</dcterms:modified>
</cp:coreProperties>
</file>