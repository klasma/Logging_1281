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46226</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46226</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46226</v>
      </c>
      <c r="F4" t="inlineStr">
        <is>
          <t>SKÅNE LÄN</t>
        </is>
      </c>
      <c r="G4" t="inlineStr">
        <is>
          <t>LUND</t>
        </is>
      </c>
      <c r="I4" t="n">
        <v>4.4</v>
      </c>
      <c r="J4" t="n">
        <v>7</v>
      </c>
      <c r="K4" t="n">
        <v>0</v>
      </c>
      <c r="L4" t="n">
        <v>3</v>
      </c>
      <c r="M4" t="n">
        <v>0</v>
      </c>
      <c r="N4" t="n">
        <v>0</v>
      </c>
      <c r="O4" t="n">
        <v>0</v>
      </c>
      <c r="P4" t="n">
        <v>0</v>
      </c>
      <c r="Q4" t="n">
        <v>3</v>
      </c>
      <c r="R4" t="n">
        <v>0</v>
      </c>
      <c r="S4" t="n">
        <v>7</v>
      </c>
      <c r="T4" t="n">
        <v>7</v>
      </c>
      <c r="U4" t="n">
        <v>4</v>
      </c>
      <c r="V4" s="2" t="inlineStr">
        <is>
          <t>Grönsångare
Järnsparv
Talltita
Spillkråka
Gröngöling
Vanlig groda
Vanlig snok</t>
        </is>
      </c>
      <c r="W4">
        <f>HYPERLINK("https://klasma.github.io/Logging_1281/artfynd/A 40999-2021 artfynd.xlsx", "A 40999-2021")</f>
        <v/>
      </c>
      <c r="X4">
        <f>HYPERLINK("https://klasma.github.io/Logging_1281/kartor/A 40999-2021 karta.png", "A 40999-2021")</f>
        <v/>
      </c>
      <c r="Y4">
        <f>HYPERLINK("https://klasma.github.io/Logging_1281/kartor_geotiff/A 40999-2021 georefererad karta.tif", "A 40999-2021")</f>
        <v/>
      </c>
      <c r="AA4">
        <f>HYPERLINK("https://klasma.github.io/Logging_1281/klagomål/A 40999-2021 FSC-klagomål.docx", "A 40999-2021")</f>
        <v/>
      </c>
      <c r="AB4">
        <f>HYPERLINK("https://klasma.github.io/Logging_1281/klagomålsmail/A 40999-2021 FSC-klagomål mail.docx", "A 40999-2021")</f>
        <v/>
      </c>
      <c r="AC4">
        <f>HYPERLINK("https://klasma.github.io/Logging_1281/tillsyn/A 40999-2021 tillsynsbegäran.docx", "A 40999-2021")</f>
        <v/>
      </c>
      <c r="AD4">
        <f>HYPERLINK("https://klasma.github.io/Logging_1281/tillsynsmail/A 40999-2021 tillsynsbegäran mail.docx", "A 40999-2021")</f>
        <v/>
      </c>
      <c r="AE4">
        <f>HYPERLINK("https://klasma.github.io/Logging_1281/fåglar/A 40999-2021 prioriterade fågelarter.docx", "A 40999-2021")</f>
        <v/>
      </c>
    </row>
    <row r="5" ht="15" customHeight="1">
      <c r="A5" t="inlineStr">
        <is>
          <t>A 59733-2023</t>
        </is>
      </c>
      <c r="B5" t="inlineStr">
        <is>
          <t>avverkningsanmälan</t>
        </is>
      </c>
      <c r="C5" t="inlineStr">
        <is>
          <t>Föryngringsavverkning</t>
        </is>
      </c>
      <c r="D5" s="1" t="n">
        <v>45257</v>
      </c>
      <c r="E5" s="1" t="n">
        <v>46226</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46226</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46226</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46226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46226</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46226</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46226</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39260-2025</t>
        </is>
      </c>
      <c r="B17" t="inlineStr">
        <is>
          <t>avverkningsanmälan</t>
        </is>
      </c>
      <c r="C17" t="inlineStr">
        <is>
          <t>Föryngringsavverkning</t>
        </is>
      </c>
      <c r="D17" s="1" t="n">
        <v>45889</v>
      </c>
      <c r="E17" s="1" t="n">
        <v>46226</v>
      </c>
      <c r="F17" t="inlineStr">
        <is>
          <t>SKÅNE LÄN</t>
        </is>
      </c>
      <c r="G17" t="inlineStr">
        <is>
          <t>LUND</t>
        </is>
      </c>
      <c r="I17" t="n">
        <v>7.6</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HYPERLINK("https://klasma.github.io/Logging_1281/artfynd/A 39260-2025 artfynd.xlsx", "A 39260-2025")</f>
        <v/>
      </c>
      <c r="X17">
        <f>HYPERLINK("https://klasma.github.io/Logging_1281/kartor/A 39260-2025 karta.png", "A 39260-2025")</f>
        <v/>
      </c>
      <c r="Y17">
        <f>HYPERLINK("https://klasma.github.io/Logging_1281/kartor_geotiff/A 39260-2025 georefererad karta.tif", "A 39260-2025")</f>
        <v/>
      </c>
      <c r="AA17">
        <f>HYPERLINK("https://klasma.github.io/Logging_1281/klagomål/A 39260-2025 FSC-klagomål.docx", "A 39260-2025")</f>
        <v/>
      </c>
      <c r="AB17">
        <f>HYPERLINK("https://klasma.github.io/Logging_1281/klagomålsmail/A 39260-2025 FSC-klagomål mail.docx", "A 39260-2025")</f>
        <v/>
      </c>
      <c r="AC17">
        <f>HYPERLINK("https://klasma.github.io/Logging_1281/tillsyn/A 39260-2025 tillsynsbegäran.docx", "A 39260-2025")</f>
        <v/>
      </c>
      <c r="AD17">
        <f>HYPERLINK("https://klasma.github.io/Logging_1281/tillsynsmail/A 39260-2025 tillsynsbegäran mail.docx", "A 39260-2025")</f>
        <v/>
      </c>
    </row>
    <row r="18" ht="15" customHeight="1">
      <c r="A18" t="inlineStr">
        <is>
          <t>A 29075-2023</t>
        </is>
      </c>
      <c r="B18" t="inlineStr">
        <is>
          <t>avverkningsanmälan</t>
        </is>
      </c>
      <c r="C18" t="inlineStr">
        <is>
          <t>Föryngringsavverkning</t>
        </is>
      </c>
      <c r="D18" s="1" t="n">
        <v>45104</v>
      </c>
      <c r="E18" s="1" t="n">
        <v>46226</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4746-2025</t>
        </is>
      </c>
      <c r="B19" t="inlineStr">
        <is>
          <t>avverkningsanmälan</t>
        </is>
      </c>
      <c r="C19" t="inlineStr">
        <is>
          <t>Föryngringsavverkning</t>
        </is>
      </c>
      <c r="D19" s="1" t="n">
        <v>45688</v>
      </c>
      <c r="E19" s="1" t="n">
        <v>46226</v>
      </c>
      <c r="F19" t="inlineStr">
        <is>
          <t>SKÅNE LÄN</t>
        </is>
      </c>
      <c r="G19" t="inlineStr">
        <is>
          <t>LUND</t>
        </is>
      </c>
      <c r="I19" t="n">
        <v>1.1</v>
      </c>
      <c r="J19" t="n">
        <v>1</v>
      </c>
      <c r="K19" t="n">
        <v>0</v>
      </c>
      <c r="L19" t="n">
        <v>0</v>
      </c>
      <c r="M19" t="n">
        <v>0</v>
      </c>
      <c r="N19" t="n">
        <v>0</v>
      </c>
      <c r="O19" t="n">
        <v>0</v>
      </c>
      <c r="P19" t="n">
        <v>0</v>
      </c>
      <c r="Q19" t="n">
        <v>0</v>
      </c>
      <c r="R19" t="n">
        <v>0</v>
      </c>
      <c r="S19" t="n">
        <v>1</v>
      </c>
      <c r="T19" t="n">
        <v>1</v>
      </c>
      <c r="U19" t="n">
        <v>0</v>
      </c>
      <c r="V19" s="2" t="inlineStr">
        <is>
          <t>Svartvit flugsnappare</t>
        </is>
      </c>
      <c r="W19">
        <f>HYPERLINK("https://klasma.github.io/Logging_1281/artfynd/A 4746-2025 artfynd.xlsx", "A 4746-2025")</f>
        <v/>
      </c>
      <c r="X19">
        <f>HYPERLINK("https://klasma.github.io/Logging_1281/kartor/A 4746-2025 karta.png", "A 4746-2025")</f>
        <v/>
      </c>
      <c r="Y19">
        <f>HYPERLINK("https://klasma.github.io/Logging_1281/kartor_geotiff/A 4746-2025 georefererad karta.tif", "A 4746-2025")</f>
        <v/>
      </c>
      <c r="AA19">
        <f>HYPERLINK("https://klasma.github.io/Logging_1281/klagomål/A 4746-2025 FSC-klagomål.docx", "A 4746-2025")</f>
        <v/>
      </c>
      <c r="AB19">
        <f>HYPERLINK("https://klasma.github.io/Logging_1281/klagomålsmail/A 4746-2025 FSC-klagomål mail.docx", "A 4746-2025")</f>
        <v/>
      </c>
      <c r="AC19">
        <f>HYPERLINK("https://klasma.github.io/Logging_1281/tillsyn/A 4746-2025 tillsynsbegäran.docx", "A 4746-2025")</f>
        <v/>
      </c>
      <c r="AD19">
        <f>HYPERLINK("https://klasma.github.io/Logging_1281/tillsynsmail/A 4746-2025 tillsynsbegäran mail.docx", "A 4746-2025")</f>
        <v/>
      </c>
    </row>
    <row r="20" ht="15" customHeight="1">
      <c r="A20" t="inlineStr">
        <is>
          <t>A 59227-2025</t>
        </is>
      </c>
      <c r="B20" t="inlineStr">
        <is>
          <t>avverkningsanmälan</t>
        </is>
      </c>
      <c r="C20" t="inlineStr">
        <is>
          <t>Föryngringsavverkning</t>
        </is>
      </c>
      <c r="D20" s="1" t="n">
        <v>45988</v>
      </c>
      <c r="E20" s="1" t="n">
        <v>46226</v>
      </c>
      <c r="F20" t="inlineStr">
        <is>
          <t>SKÅNE LÄN</t>
        </is>
      </c>
      <c r="G20" t="inlineStr">
        <is>
          <t>LUND</t>
        </is>
      </c>
      <c r="I20" t="n">
        <v>7.1</v>
      </c>
      <c r="J20" t="n">
        <v>0</v>
      </c>
      <c r="K20" t="n">
        <v>1</v>
      </c>
      <c r="L20" t="n">
        <v>0</v>
      </c>
      <c r="M20" t="n">
        <v>0</v>
      </c>
      <c r="N20" t="n">
        <v>0</v>
      </c>
      <c r="O20" t="n">
        <v>0</v>
      </c>
      <c r="P20" t="n">
        <v>0</v>
      </c>
      <c r="Q20" t="n">
        <v>0</v>
      </c>
      <c r="R20" t="n">
        <v>0</v>
      </c>
      <c r="S20" t="n">
        <v>1</v>
      </c>
      <c r="T20" t="n">
        <v>1</v>
      </c>
      <c r="U20" t="n">
        <v>0</v>
      </c>
      <c r="V20" s="2" t="inlineStr">
        <is>
          <t>Scharlakansskål</t>
        </is>
      </c>
      <c r="W20">
        <f>HYPERLINK("https://klasma.github.io/Logging_1281/artfynd/A 59227-2025 artfynd.xlsx", "A 59227-2025")</f>
        <v/>
      </c>
      <c r="X20">
        <f>HYPERLINK("https://klasma.github.io/Logging_1281/kartor/A 59227-2025 karta.png", "A 59227-2025")</f>
        <v/>
      </c>
      <c r="Y20">
        <f>HYPERLINK("https://klasma.github.io/Logging_1281/kartor_geotiff/A 59227-2025 georefererad karta.tif", "A 59227-2025")</f>
        <v/>
      </c>
      <c r="AA20">
        <f>HYPERLINK("https://klasma.github.io/Logging_1281/klagomål/A 59227-2025 FSC-klagomål.docx", "A 59227-2025")</f>
        <v/>
      </c>
      <c r="AB20">
        <f>HYPERLINK("https://klasma.github.io/Logging_1281/klagomålsmail/A 59227-2025 FSC-klagomål mail.docx", "A 59227-2025")</f>
        <v/>
      </c>
      <c r="AC20">
        <f>HYPERLINK("https://klasma.github.io/Logging_1281/tillsyn/A 59227-2025 tillsynsbegäran.docx", "A 59227-2025")</f>
        <v/>
      </c>
      <c r="AD20">
        <f>HYPERLINK("https://klasma.github.io/Logging_1281/tillsynsmail/A 59227-2025 tillsynsbegäran mail.docx", "A 59227-2025")</f>
        <v/>
      </c>
    </row>
    <row r="21" ht="15" customHeight="1">
      <c r="A21" t="inlineStr">
        <is>
          <t>A 27377-2026</t>
        </is>
      </c>
      <c r="B21" t="inlineStr">
        <is>
          <t>avverkningsanmälan</t>
        </is>
      </c>
      <c r="C21" t="inlineStr">
        <is>
          <t>Föryngringsavverkning</t>
        </is>
      </c>
      <c r="D21" s="1" t="n">
        <v>46189</v>
      </c>
      <c r="E21" s="1" t="n">
        <v>46226</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46226</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t="n">
        <v>1</v>
      </c>
      <c r="V22" s="2" t="inlineStr">
        <is>
          <t>Grovticka</t>
        </is>
      </c>
      <c r="W22">
        <f>HYPERLINK("https://klasma.github.io/Logging_1281/artfynd/A 55145-2023 artfynd.xlsx", "A 55145-2023")</f>
        <v/>
      </c>
      <c r="X22">
        <f>HYPERLINK("https://klasma.github.io/Logging_1281/kartor/A 55145-2023 karta.png", "A 55145-2023")</f>
        <v/>
      </c>
      <c r="Y22">
        <f>HYPERLINK("https://klasma.github.io/Logging_1281/kartor_geotiff/A 55145-2023 georefererad karta.tif", "A 55145-2023")</f>
        <v/>
      </c>
      <c r="AA22">
        <f>HYPERLINK("https://klasma.github.io/Logging_1281/klagomål/A 55145-2023 FSC-klagomål.docx", "A 55145-2023")</f>
        <v/>
      </c>
      <c r="AB22">
        <f>HYPERLINK("https://klasma.github.io/Logging_1281/klagomålsmail/A 55145-2023 FSC-klagomål mail.docx", "A 55145-2023")</f>
        <v/>
      </c>
      <c r="AC22">
        <f>HYPERLINK("https://klasma.github.io/Logging_1281/tillsyn/A 55145-2023 tillsynsbegäran.docx", "A 55145-2023")</f>
        <v/>
      </c>
      <c r="AD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46226</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46226</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46226</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9889-2026</t>
        </is>
      </c>
      <c r="B26" t="inlineStr">
        <is>
          <t>avverkningsanmälan</t>
        </is>
      </c>
      <c r="C26" t="inlineStr">
        <is>
          <t>Föryngringsavverkning</t>
        </is>
      </c>
      <c r="D26" s="1" t="n">
        <v>46073</v>
      </c>
      <c r="E26" s="1" t="n">
        <v>46226</v>
      </c>
      <c r="F26" t="inlineStr">
        <is>
          <t>SKÅNE LÄN</t>
        </is>
      </c>
      <c r="G26" t="inlineStr">
        <is>
          <t>LUND</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28885-2022</t>
        </is>
      </c>
      <c r="B27" t="inlineStr">
        <is>
          <t>avverkningsanmälan</t>
        </is>
      </c>
      <c r="C27" t="inlineStr">
        <is>
          <t>Föryngringsavverkning</t>
        </is>
      </c>
      <c r="D27" s="1" t="n">
        <v>44749</v>
      </c>
      <c r="E27" s="1" t="n">
        <v>46226</v>
      </c>
      <c r="F27" t="inlineStr">
        <is>
          <t>SKÅNE LÄN</t>
        </is>
      </c>
      <c r="G27" t="inlineStr">
        <is>
          <t>LUND</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32972-2024</t>
        </is>
      </c>
      <c r="B28" t="inlineStr">
        <is>
          <t>avverkningsanmälan</t>
        </is>
      </c>
      <c r="C28" t="inlineStr">
        <is>
          <t>Föryngringsavverkning</t>
        </is>
      </c>
      <c r="D28" s="1" t="n">
        <v>45517</v>
      </c>
      <c r="E28" s="1" t="n">
        <v>46226</v>
      </c>
      <c r="F28" t="inlineStr">
        <is>
          <t>SKÅNE LÄN</t>
        </is>
      </c>
      <c r="G28" t="inlineStr">
        <is>
          <t>LUND</t>
        </is>
      </c>
      <c r="H28" t="inlineStr">
        <is>
          <t>Kommuner</t>
        </is>
      </c>
      <c r="I28" t="n">
        <v>20.7</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46226</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58488-2025</t>
        </is>
      </c>
      <c r="B30" t="inlineStr">
        <is>
          <t>avverkningsanmälan</t>
        </is>
      </c>
      <c r="C30" t="inlineStr">
        <is>
          <t>Föryngringsavverkning</t>
        </is>
      </c>
      <c r="D30" s="1" t="n">
        <v>45985</v>
      </c>
      <c r="E30" s="1" t="n">
        <v>46226</v>
      </c>
      <c r="F30" t="inlineStr">
        <is>
          <t>SKÅNE LÄN</t>
        </is>
      </c>
      <c r="G30" t="inlineStr">
        <is>
          <t>LUND</t>
        </is>
      </c>
      <c r="I30" t="n">
        <v>9.5</v>
      </c>
      <c r="J30" t="n">
        <v>0</v>
      </c>
      <c r="K30" t="n">
        <v>0</v>
      </c>
      <c r="L30" t="n">
        <v>0</v>
      </c>
      <c r="M30" t="n">
        <v>0</v>
      </c>
      <c r="N30" t="n">
        <v>0</v>
      </c>
      <c r="O30" t="n">
        <v>0</v>
      </c>
      <c r="P30" t="n">
        <v>0</v>
      </c>
      <c r="Q30" t="n">
        <v>0</v>
      </c>
      <c r="R30" t="n">
        <v>0</v>
      </c>
      <c r="S30" t="n">
        <v>0</v>
      </c>
      <c r="T30" t="n">
        <v>0</v>
      </c>
      <c r="U30" t="n">
        <v>0</v>
      </c>
      <c r="V30" s="2" t="inlineStr"/>
    </row>
    <row r="31" ht="15" customHeight="1">
      <c r="A31" t="inlineStr">
        <is>
          <t>A 45725-2022</t>
        </is>
      </c>
      <c r="B31" t="inlineStr">
        <is>
          <t>avverkningsanmälan</t>
        </is>
      </c>
      <c r="C31" t="inlineStr">
        <is>
          <t>Föryngringsavverkning</t>
        </is>
      </c>
      <c r="D31" s="1" t="n">
        <v>44846</v>
      </c>
      <c r="E31" s="1" t="n">
        <v>46226</v>
      </c>
      <c r="F31" t="inlineStr">
        <is>
          <t>SKÅNE LÄN</t>
        </is>
      </c>
      <c r="G31" t="inlineStr">
        <is>
          <t>LUND</t>
        </is>
      </c>
      <c r="I31" t="n">
        <v>1.2</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46226</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46226</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21767-2023</t>
        </is>
      </c>
      <c r="B34" t="inlineStr">
        <is>
          <t>avverkningsanmälan</t>
        </is>
      </c>
      <c r="C34" t="inlineStr">
        <is>
          <t>Föryngringsavverkning</t>
        </is>
      </c>
      <c r="D34" s="1" t="n">
        <v>45065</v>
      </c>
      <c r="E34" s="1" t="n">
        <v>46226</v>
      </c>
      <c r="F34" t="inlineStr">
        <is>
          <t>SKÅNE LÄN</t>
        </is>
      </c>
      <c r="G34" t="inlineStr">
        <is>
          <t>LUND</t>
        </is>
      </c>
      <c r="I34" t="n">
        <v>1.9</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46226</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17519-2023</t>
        </is>
      </c>
      <c r="B36" t="inlineStr">
        <is>
          <t>avverkningsanmälan</t>
        </is>
      </c>
      <c r="C36" t="inlineStr">
        <is>
          <t>Avverkning för annat ändamål</t>
        </is>
      </c>
      <c r="D36" s="1" t="n">
        <v>45036</v>
      </c>
      <c r="E36" s="1" t="n">
        <v>46226</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46226</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59918-2022</t>
        </is>
      </c>
      <c r="B38" t="inlineStr">
        <is>
          <t>avverkningsanmälan</t>
        </is>
      </c>
      <c r="C38" t="inlineStr">
        <is>
          <t>Föryngringsavverkning</t>
        </is>
      </c>
      <c r="D38" s="1" t="n">
        <v>44909</v>
      </c>
      <c r="E38" s="1" t="n">
        <v>46226</v>
      </c>
      <c r="F38" t="inlineStr">
        <is>
          <t>SKÅNE LÄN</t>
        </is>
      </c>
      <c r="G38" t="inlineStr">
        <is>
          <t>LUND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46226</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46226</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46226</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46226</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46226</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46226</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46226</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2026-07-23T01:42:42Z</dcterms:created>
  <dcterms:modified xmlns:dcterms="http://purl.org/dc/terms/" xmlns:xsi="http://www.w3.org/2001/XMLSchema-instance" xsi:type="dcterms:W3CDTF">2026-07-23T01:42:42Z</dcterms:modified>
</cp:coreProperties>
</file>