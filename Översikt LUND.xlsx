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45918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45918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45918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45918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45918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45918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45918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35443-2021</t>
        </is>
      </c>
      <c r="B12" s="1" t="n">
        <v>44385</v>
      </c>
      <c r="C12" s="1" t="n">
        <v>45918</v>
      </c>
      <c r="D12" t="inlineStr">
        <is>
          <t>SKÅNE LÄN</t>
        </is>
      </c>
      <c r="E12" t="inlineStr">
        <is>
          <t>LUND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Klubbfibbla</t>
        </is>
      </c>
      <c r="S12">
        <f>HYPERLINK("https://klasma.github.io/Logging_1281/artfynd/A 35443-2021 artfynd.xlsx", "A 35443-2021")</f>
        <v/>
      </c>
      <c r="T12">
        <f>HYPERLINK("https://klasma.github.io/Logging_1281/kartor/A 35443-2021 karta.png", "A 35443-2021")</f>
        <v/>
      </c>
      <c r="V12">
        <f>HYPERLINK("https://klasma.github.io/Logging_1281/klagomål/A 35443-2021 FSC-klagomål.docx", "A 35443-2021")</f>
        <v/>
      </c>
      <c r="W12">
        <f>HYPERLINK("https://klasma.github.io/Logging_1281/klagomålsmail/A 35443-2021 FSC-klagomål mail.docx", "A 35443-2021")</f>
        <v/>
      </c>
      <c r="X12">
        <f>HYPERLINK("https://klasma.github.io/Logging_1281/tillsyn/A 35443-2021 tillsynsbegäran.docx", "A 35443-2021")</f>
        <v/>
      </c>
      <c r="Y12">
        <f>HYPERLINK("https://klasma.github.io/Logging_1281/tillsynsmail/A 35443-2021 tillsynsbegäran mail.docx", "A 35443-2021")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45918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45918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45918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39260-2025</t>
        </is>
      </c>
      <c r="B16" s="1" t="n">
        <v>45889.37043981482</v>
      </c>
      <c r="C16" s="1" t="n">
        <v>45918</v>
      </c>
      <c r="D16" t="inlineStr">
        <is>
          <t>SKÅNE LÄN</t>
        </is>
      </c>
      <c r="E16" t="inlineStr">
        <is>
          <t>LUND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HYPERLINK("https://klasma.github.io/Logging_1281/artfynd/A 39260-2025 artfynd.xlsx", "A 39260-2025")</f>
        <v/>
      </c>
      <c r="T16">
        <f>HYPERLINK("https://klasma.github.io/Logging_1281/kartor/A 39260-2025 karta.png", "A 39260-2025")</f>
        <v/>
      </c>
      <c r="V16">
        <f>HYPERLINK("https://klasma.github.io/Logging_1281/klagomål/A 39260-2025 FSC-klagomål.docx", "A 39260-2025")</f>
        <v/>
      </c>
      <c r="W16">
        <f>HYPERLINK("https://klasma.github.io/Logging_1281/klagomålsmail/A 39260-2025 FSC-klagomål mail.docx", "A 39260-2025")</f>
        <v/>
      </c>
      <c r="X16">
        <f>HYPERLINK("https://klasma.github.io/Logging_1281/tillsyn/A 39260-2025 tillsynsbegäran.docx", "A 39260-2025")</f>
        <v/>
      </c>
      <c r="Y16">
        <f>HYPERLINK("https://klasma.github.io/Logging_1281/tillsynsmail/A 39260-2025 tillsynsbegäran mail.docx", "A 39260-2025")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45918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45918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56855-2021</t>
        </is>
      </c>
      <c r="B20" s="1" t="n">
        <v>44481</v>
      </c>
      <c r="C20" s="1" t="n">
        <v>45918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2248-2025</t>
        </is>
      </c>
      <c r="B21" s="1" t="n">
        <v>45673.49231481482</v>
      </c>
      <c r="C21" s="1" t="n">
        <v>45918</v>
      </c>
      <c r="D21" t="inlineStr">
        <is>
          <t>SKÅNE LÄN</t>
        </is>
      </c>
      <c r="E21" t="inlineStr">
        <is>
          <t>LUND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45918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45918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45918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45918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44646-2023</t>
        </is>
      </c>
      <c r="B26" s="1" t="n">
        <v>45189</v>
      </c>
      <c r="C26" s="1" t="n">
        <v>45918</v>
      </c>
      <c r="D26" t="inlineStr">
        <is>
          <t>SKÅNE LÄN</t>
        </is>
      </c>
      <c r="E26" t="inlineStr">
        <is>
          <t>LUND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17519-2023</t>
        </is>
      </c>
      <c r="B27" s="1" t="n">
        <v>45036</v>
      </c>
      <c r="C27" s="1" t="n">
        <v>45918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16499-2025</t>
        </is>
      </c>
      <c r="B28" s="1" t="n">
        <v>45751.60246527778</v>
      </c>
      <c r="C28" s="1" t="n">
        <v>45918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4803-2025</t>
        </is>
      </c>
      <c r="B29" s="1" t="n">
        <v>45688.59399305555</v>
      </c>
      <c r="C29" s="1" t="n">
        <v>45918</v>
      </c>
      <c r="D29" t="inlineStr">
        <is>
          <t>SKÅNE LÄN</t>
        </is>
      </c>
      <c r="E29" t="inlineStr">
        <is>
          <t>LUND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45918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45918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32972-2024</t>
        </is>
      </c>
      <c r="B32" s="1" t="n">
        <v>45517.42064814815</v>
      </c>
      <c r="C32" s="1" t="n">
        <v>45918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20.7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13754-2022</t>
        </is>
      </c>
      <c r="B33" s="1" t="n">
        <v>44649</v>
      </c>
      <c r="C33" s="1" t="n">
        <v>45918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20057-2025</t>
        </is>
      </c>
      <c r="B34" s="1" t="n">
        <v>45772</v>
      </c>
      <c r="C34" s="1" t="n">
        <v>45918</v>
      </c>
      <c r="D34" t="inlineStr">
        <is>
          <t>SKÅNE LÄN</t>
        </is>
      </c>
      <c r="E34" t="inlineStr">
        <is>
          <t>LUND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29075-2023</t>
        </is>
      </c>
      <c r="B35" s="1" t="n">
        <v>45104</v>
      </c>
      <c r="C35" s="1" t="n">
        <v>45918</v>
      </c>
      <c r="D35" t="inlineStr">
        <is>
          <t>SKÅNE LÄN</t>
        </is>
      </c>
      <c r="E35" t="inlineStr">
        <is>
          <t>LUND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45918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29247-2025</t>
        </is>
      </c>
      <c r="B37" s="1" t="n">
        <v>45824</v>
      </c>
      <c r="C37" s="1" t="n">
        <v>45918</v>
      </c>
      <c r="D37" t="inlineStr">
        <is>
          <t>SKÅNE LÄN</t>
        </is>
      </c>
      <c r="E37" t="inlineStr">
        <is>
          <t>LUND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15984-2025</t>
        </is>
      </c>
      <c r="B38" s="1" t="n">
        <v>45749</v>
      </c>
      <c r="C38" s="1" t="n">
        <v>45918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33985-2021</t>
        </is>
      </c>
      <c r="B39" s="1" t="n">
        <v>44378</v>
      </c>
      <c r="C39" s="1" t="n">
        <v>45918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45918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45918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45918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45918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45918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6034-2025</t>
        </is>
      </c>
      <c r="B45" s="1" t="n">
        <v>45695.64231481482</v>
      </c>
      <c r="C45" s="1" t="n">
        <v>45918</v>
      </c>
      <c r="D45" t="inlineStr">
        <is>
          <t>SKÅNE LÄN</t>
        </is>
      </c>
      <c r="E45" t="inlineStr">
        <is>
          <t>LUND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34484-2025</t>
        </is>
      </c>
      <c r="B46" s="1" t="n">
        <v>45847.39517361111</v>
      </c>
      <c r="C46" s="1" t="n">
        <v>45918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2025-09-18T08:57:44Z</dcterms:created>
  <dcterms:modified xmlns:dcterms="http://purl.org/dc/terms/" xmlns:xsi="http://www.w3.org/2001/XMLSchema-instance" xsi:type="dcterms:W3CDTF">2025-09-18T08:57:44Z</dcterms:modified>
</cp:coreProperties>
</file>