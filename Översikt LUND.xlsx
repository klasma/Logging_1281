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45697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45697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45697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45697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45697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45697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45697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45697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45697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45697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45697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45697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45697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4792-2025</t>
        </is>
      </c>
      <c r="B15" s="1" t="n">
        <v>45688</v>
      </c>
      <c r="C15" s="1" t="n">
        <v>45697</v>
      </c>
      <c r="D15" t="inlineStr">
        <is>
          <t>SKÅNE LÄN</t>
        </is>
      </c>
      <c r="E15" t="inlineStr">
        <is>
          <t>LUND</t>
        </is>
      </c>
      <c r="G15" t="n">
        <v>5.9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Oxtungssvamp</t>
        </is>
      </c>
      <c r="S15">
        <f>HYPERLINK("https://klasma.github.io/Logging_1281/artfynd/A 4792-2025 artfynd.xlsx", "A 4792-2025")</f>
        <v/>
      </c>
      <c r="T15">
        <f>HYPERLINK("https://klasma.github.io/Logging_1281/kartor/A 4792-2025 karta.png", "A 4792-2025")</f>
        <v/>
      </c>
      <c r="V15">
        <f>HYPERLINK("https://klasma.github.io/Logging_1281/klagomål/A 4792-2025 FSC-klagomål.docx", "A 4792-2025")</f>
        <v/>
      </c>
      <c r="W15">
        <f>HYPERLINK("https://klasma.github.io/Logging_1281/klagomålsmail/A 4792-2025 FSC-klagomål mail.docx", "A 4792-2025")</f>
        <v/>
      </c>
      <c r="X15">
        <f>HYPERLINK("https://klasma.github.io/Logging_1281/tillsyn/A 4792-2025 tillsynsbegäran.docx", "A 4792-2025")</f>
        <v/>
      </c>
      <c r="Y15">
        <f>HYPERLINK("https://klasma.github.io/Logging_1281/tillsynsmail/A 4792-2025 tillsynsbegäran mail.docx", "A 4792-2025")</f>
        <v/>
      </c>
    </row>
    <row r="16" ht="15" customHeight="1">
      <c r="A16" t="inlineStr">
        <is>
          <t>A 4816-2025</t>
        </is>
      </c>
      <c r="B16" s="1" t="n">
        <v>45688</v>
      </c>
      <c r="C16" s="1" t="n">
        <v>45697</v>
      </c>
      <c r="D16" t="inlineStr">
        <is>
          <t>SKÅNE LÄN</t>
        </is>
      </c>
      <c r="E16" t="inlineStr">
        <is>
          <t>LUND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HYPERLINK("https://klasma.github.io/Logging_1281/artfynd/A 4816-2025 artfynd.xlsx", "A 4816-2025")</f>
        <v/>
      </c>
      <c r="T16">
        <f>HYPERLINK("https://klasma.github.io/Logging_1281/kartor/A 4816-2025 karta.png", "A 4816-2025")</f>
        <v/>
      </c>
      <c r="V16">
        <f>HYPERLINK("https://klasma.github.io/Logging_1281/klagomål/A 4816-2025 FSC-klagomål.docx", "A 4816-2025")</f>
        <v/>
      </c>
      <c r="W16">
        <f>HYPERLINK("https://klasma.github.io/Logging_1281/klagomålsmail/A 4816-2025 FSC-klagomål mail.docx", "A 4816-2025")</f>
        <v/>
      </c>
      <c r="X16">
        <f>HYPERLINK("https://klasma.github.io/Logging_1281/tillsyn/A 4816-2025 tillsynsbegäran.docx", "A 4816-2025")</f>
        <v/>
      </c>
      <c r="Y16">
        <f>HYPERLINK("https://klasma.github.io/Logging_1281/tillsynsmail/A 4816-2025 tillsynsbegäran mail.docx", "A 4816-2025")</f>
        <v/>
      </c>
    </row>
    <row r="17" ht="15" customHeight="1">
      <c r="A17" t="inlineStr">
        <is>
          <t>A 4746-2025</t>
        </is>
      </c>
      <c r="B17" s="1" t="n">
        <v>45688</v>
      </c>
      <c r="C17" s="1" t="n">
        <v>45697</v>
      </c>
      <c r="D17" t="inlineStr">
        <is>
          <t>SKÅNE LÄN</t>
        </is>
      </c>
      <c r="E17" t="inlineStr">
        <is>
          <t>LUND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HYPERLINK("https://klasma.github.io/Logging_1281/artfynd/A 4746-2025 artfynd.xlsx", "A 4746-2025")</f>
        <v/>
      </c>
      <c r="T17">
        <f>HYPERLINK("https://klasma.github.io/Logging_1281/kartor/A 4746-2025 karta.png", "A 4746-2025")</f>
        <v/>
      </c>
      <c r="V17">
        <f>HYPERLINK("https://klasma.github.io/Logging_1281/klagomål/A 4746-2025 FSC-klagomål.docx", "A 4746-2025")</f>
        <v/>
      </c>
      <c r="W17">
        <f>HYPERLINK("https://klasma.github.io/Logging_1281/klagomålsmail/A 4746-2025 FSC-klagomål mail.docx", "A 4746-2025")</f>
        <v/>
      </c>
      <c r="X17">
        <f>HYPERLINK("https://klasma.github.io/Logging_1281/tillsyn/A 4746-2025 tillsynsbegäran.docx", "A 4746-2025")</f>
        <v/>
      </c>
      <c r="Y17">
        <f>HYPERLINK("https://klasma.github.io/Logging_1281/tillsynsmail/A 4746-2025 tillsynsbegäran mail.docx", "A 4746-2025")</f>
        <v/>
      </c>
      <c r="Z17">
        <f>HYPERLINK("https://klasma.github.io/Logging_1281/fåglar/A 4746-2025 prioriterade fågelarter.docx", "A 4746-2025")</f>
        <v/>
      </c>
    </row>
    <row r="18" ht="15" customHeight="1">
      <c r="A18" t="inlineStr">
        <is>
          <t>A 25866-2019</t>
        </is>
      </c>
      <c r="B18" s="1" t="n">
        <v>43605</v>
      </c>
      <c r="C18" s="1" t="n">
        <v>45697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45697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45697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45697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45697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45697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45697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45697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45697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45697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45697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45697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45697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45697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45697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45697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45697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45697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45697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45697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45697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45697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45697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45697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45697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45697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45697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45697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45697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45697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45697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45697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31773-2023</t>
        </is>
      </c>
      <c r="B50" s="1" t="n">
        <v>45118</v>
      </c>
      <c r="C50" s="1" t="n">
        <v>45697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44646-2023</t>
        </is>
      </c>
      <c r="B51" s="1" t="n">
        <v>45189</v>
      </c>
      <c r="C51" s="1" t="n">
        <v>45697</v>
      </c>
      <c r="D51" t="inlineStr">
        <is>
          <t>SKÅNE LÄN</t>
        </is>
      </c>
      <c r="E51" t="inlineStr">
        <is>
          <t>LUND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49297-2023</t>
        </is>
      </c>
      <c r="B52" s="1" t="n">
        <v>45210</v>
      </c>
      <c r="C52" s="1" t="n">
        <v>45697</v>
      </c>
      <c r="D52" t="inlineStr">
        <is>
          <t>SKÅNE LÄN</t>
        </is>
      </c>
      <c r="E52" t="inlineStr">
        <is>
          <t>LUND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55154-2023</t>
        </is>
      </c>
      <c r="B53" s="1" t="n">
        <v>45237</v>
      </c>
      <c r="C53" s="1" t="n">
        <v>45697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55148-2023</t>
        </is>
      </c>
      <c r="B54" s="1" t="n">
        <v>45237</v>
      </c>
      <c r="C54" s="1" t="n">
        <v>45697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55147-2023</t>
        </is>
      </c>
      <c r="B55" s="1" t="n">
        <v>45237</v>
      </c>
      <c r="C55" s="1" t="n">
        <v>45697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55152-2023</t>
        </is>
      </c>
      <c r="B56" s="1" t="n">
        <v>45237</v>
      </c>
      <c r="C56" s="1" t="n">
        <v>45697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55158-2023</t>
        </is>
      </c>
      <c r="B57" s="1" t="n">
        <v>45237</v>
      </c>
      <c r="C57" s="1" t="n">
        <v>45697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59733-2023</t>
        </is>
      </c>
      <c r="B58" s="1" t="n">
        <v>45257</v>
      </c>
      <c r="C58" s="1" t="n">
        <v>45697</v>
      </c>
      <c r="D58" t="inlineStr">
        <is>
          <t>SKÅNE LÄN</t>
        </is>
      </c>
      <c r="E58" t="inlineStr">
        <is>
          <t>LUND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678-2024</t>
        </is>
      </c>
      <c r="B59" s="1" t="n">
        <v>45300</v>
      </c>
      <c r="C59" s="1" t="n">
        <v>45697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11016-2024</t>
        </is>
      </c>
      <c r="B60" s="1" t="n">
        <v>45370</v>
      </c>
      <c r="C60" s="1" t="n">
        <v>45697</v>
      </c>
      <c r="D60" t="inlineStr">
        <is>
          <t>SKÅNE LÄN</t>
        </is>
      </c>
      <c r="E60" t="inlineStr">
        <is>
          <t>LUND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11726-2024</t>
        </is>
      </c>
      <c r="B61" s="1" t="n">
        <v>45373</v>
      </c>
      <c r="C61" s="1" t="n">
        <v>45697</v>
      </c>
      <c r="D61" t="inlineStr">
        <is>
          <t>SKÅNE LÄN</t>
        </is>
      </c>
      <c r="E61" t="inlineStr">
        <is>
          <t>LUND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11727-2024</t>
        </is>
      </c>
      <c r="B62" s="1" t="n">
        <v>45373</v>
      </c>
      <c r="C62" s="1" t="n">
        <v>45697</v>
      </c>
      <c r="D62" t="inlineStr">
        <is>
          <t>SKÅNE LÄN</t>
        </is>
      </c>
      <c r="E62" t="inlineStr">
        <is>
          <t>LUND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11732-2024</t>
        </is>
      </c>
      <c r="B63" s="1" t="n">
        <v>45373</v>
      </c>
      <c r="C63" s="1" t="n">
        <v>45697</v>
      </c>
      <c r="D63" t="inlineStr">
        <is>
          <t>SKÅNE LÄN</t>
        </is>
      </c>
      <c r="E63" t="inlineStr">
        <is>
          <t>LUND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16323-2024</t>
        </is>
      </c>
      <c r="B64" s="1" t="n">
        <v>45407</v>
      </c>
      <c r="C64" s="1" t="n">
        <v>45697</v>
      </c>
      <c r="D64" t="inlineStr">
        <is>
          <t>SKÅNE LÄN</t>
        </is>
      </c>
      <c r="E64" t="inlineStr">
        <is>
          <t>LUND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25431-2024</t>
        </is>
      </c>
      <c r="B65" s="1" t="n">
        <v>45463</v>
      </c>
      <c r="C65" s="1" t="n">
        <v>45697</v>
      </c>
      <c r="D65" t="inlineStr">
        <is>
          <t>SKÅNE LÄN</t>
        </is>
      </c>
      <c r="E65" t="inlineStr">
        <is>
          <t>LUND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25421-2024</t>
        </is>
      </c>
      <c r="B66" s="1" t="n">
        <v>45463</v>
      </c>
      <c r="C66" s="1" t="n">
        <v>45697</v>
      </c>
      <c r="D66" t="inlineStr">
        <is>
          <t>SKÅNE LÄN</t>
        </is>
      </c>
      <c r="E66" t="inlineStr">
        <is>
          <t>LUND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32976-2024</t>
        </is>
      </c>
      <c r="B67" s="1" t="n">
        <v>45517</v>
      </c>
      <c r="C67" s="1" t="n">
        <v>45697</v>
      </c>
      <c r="D67" t="inlineStr">
        <is>
          <t>SKÅNE LÄN</t>
        </is>
      </c>
      <c r="E67" t="inlineStr">
        <is>
          <t>LUND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32972-2024</t>
        </is>
      </c>
      <c r="B68" s="1" t="n">
        <v>45517</v>
      </c>
      <c r="C68" s="1" t="n">
        <v>45697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43512-2024</t>
        </is>
      </c>
      <c r="B69" s="1" t="n">
        <v>45569</v>
      </c>
      <c r="C69" s="1" t="n">
        <v>45697</v>
      </c>
      <c r="D69" t="inlineStr">
        <is>
          <t>SKÅNE LÄN</t>
        </is>
      </c>
      <c r="E69" t="inlineStr">
        <is>
          <t>LUND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2248-2025</t>
        </is>
      </c>
      <c r="B70" s="1" t="n">
        <v>45673</v>
      </c>
      <c r="C70" s="1" t="n">
        <v>45697</v>
      </c>
      <c r="D70" t="inlineStr">
        <is>
          <t>SKÅNE LÄN</t>
        </is>
      </c>
      <c r="E70" t="inlineStr">
        <is>
          <t>LUND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4755-2025</t>
        </is>
      </c>
      <c r="B71" s="1" t="n">
        <v>45688</v>
      </c>
      <c r="C71" s="1" t="n">
        <v>45697</v>
      </c>
      <c r="D71" t="inlineStr">
        <is>
          <t>SKÅNE LÄN</t>
        </is>
      </c>
      <c r="E71" t="inlineStr">
        <is>
          <t>LUND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4803-2025</t>
        </is>
      </c>
      <c r="B72" s="1" t="n">
        <v>45688</v>
      </c>
      <c r="C72" s="1" t="n">
        <v>45697</v>
      </c>
      <c r="D72" t="inlineStr">
        <is>
          <t>SKÅNE LÄN</t>
        </is>
      </c>
      <c r="E72" t="inlineStr">
        <is>
          <t>LUND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4811-2025</t>
        </is>
      </c>
      <c r="B73" s="1" t="n">
        <v>45688</v>
      </c>
      <c r="C73" s="1" t="n">
        <v>45697</v>
      </c>
      <c r="D73" t="inlineStr">
        <is>
          <t>SKÅNE LÄN</t>
        </is>
      </c>
      <c r="E73" t="inlineStr">
        <is>
          <t>LUND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4788-2025</t>
        </is>
      </c>
      <c r="B74" s="1" t="n">
        <v>45688</v>
      </c>
      <c r="C74" s="1" t="n">
        <v>45697</v>
      </c>
      <c r="D74" t="inlineStr">
        <is>
          <t>SKÅNE LÄN</t>
        </is>
      </c>
      <c r="E74" t="inlineStr">
        <is>
          <t>LUND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4761-2025</t>
        </is>
      </c>
      <c r="B75" s="1" t="n">
        <v>45688</v>
      </c>
      <c r="C75" s="1" t="n">
        <v>45697</v>
      </c>
      <c r="D75" t="inlineStr">
        <is>
          <t>SKÅNE LÄN</t>
        </is>
      </c>
      <c r="E75" t="inlineStr">
        <is>
          <t>LUND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5059-2025</t>
        </is>
      </c>
      <c r="B76" s="1" t="n">
        <v>45691</v>
      </c>
      <c r="C76" s="1" t="n">
        <v>45697</v>
      </c>
      <c r="D76" t="inlineStr">
        <is>
          <t>SKÅNE LÄN</t>
        </is>
      </c>
      <c r="E76" t="inlineStr">
        <is>
          <t>LUND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6034-2025</t>
        </is>
      </c>
      <c r="B77" s="1" t="n">
        <v>45695</v>
      </c>
      <c r="C77" s="1" t="n">
        <v>45697</v>
      </c>
      <c r="D77" t="inlineStr">
        <is>
          <t>SKÅNE LÄN</t>
        </is>
      </c>
      <c r="E77" t="inlineStr">
        <is>
          <t>LUND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2025-02-09T17:15:09Z</dcterms:created>
  <dcterms:modified xmlns:dcterms="http://purl.org/dc/terms/" xmlns:xsi="http://www.w3.org/2001/XMLSchema-instance" xsi:type="dcterms:W3CDTF">2025-02-09T17:15:09Z</dcterms:modified>
</cp:coreProperties>
</file>