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46281</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46281</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46281</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46281</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46281</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46281</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46281</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46281</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10617-2025</t>
        </is>
      </c>
      <c r="B10" t="inlineStr">
        <is>
          <t>avverkningsanmälan</t>
        </is>
      </c>
      <c r="C10" t="inlineStr">
        <is>
          <t>Föryngringsavverkning</t>
        </is>
      </c>
      <c r="D10" s="1" t="n">
        <v>45721</v>
      </c>
      <c r="E10" s="1" t="n">
        <v>46281</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A 72269-2021</t>
        </is>
      </c>
      <c r="B11" t="inlineStr">
        <is>
          <t>avverkningsanmälan</t>
        </is>
      </c>
      <c r="C11" t="inlineStr">
        <is>
          <t>Avverkning för annat ändamål</t>
        </is>
      </c>
      <c r="D11" s="1" t="n">
        <v>44543</v>
      </c>
      <c r="E11" s="1" t="n">
        <v>46281</v>
      </c>
      <c r="F11" t="inlineStr">
        <is>
          <t>SKÅNE LÄN</t>
        </is>
      </c>
      <c r="G11" t="inlineStr">
        <is>
          <t>LUND</t>
        </is>
      </c>
      <c r="I11" t="n">
        <v>3.2</v>
      </c>
      <c r="J11" t="n">
        <v>0</v>
      </c>
      <c r="K11" t="n">
        <v>2</v>
      </c>
      <c r="L11" t="n">
        <v>0</v>
      </c>
      <c r="M11" t="n">
        <v>0</v>
      </c>
      <c r="N11" t="n">
        <v>0</v>
      </c>
      <c r="O11" t="n">
        <v>0</v>
      </c>
      <c r="P11" t="n">
        <v>0</v>
      </c>
      <c r="Q11" t="n">
        <v>0</v>
      </c>
      <c r="R11" t="n">
        <v>0</v>
      </c>
      <c r="S11" t="n">
        <v>2</v>
      </c>
      <c r="T11" t="n">
        <v>2</v>
      </c>
      <c r="U11" t="n">
        <v>0</v>
      </c>
      <c r="V11" s="2" t="inlineStr">
        <is>
          <t>Blanksvart trämyra
Stor häxört</t>
        </is>
      </c>
      <c r="W11">
        <f>HYPERLINK("https://klasma.github.io/Logging_1281/artfynd/A 72269-2021 artfynd.xlsx", "A 72269-2021")</f>
        <v/>
      </c>
      <c r="X11">
        <f>HYPERLINK("https://klasma.github.io/Logging_1281/kartor/A 72269-2021 karta.png", "A 72269-2021")</f>
        <v/>
      </c>
      <c r="Y11">
        <f>HYPERLINK("https://klasma.github.io/Logging_1281/kartor_geotiff/A 72269-2021 georefererad karta.tif", "A 72269-2021")</f>
        <v/>
      </c>
      <c r="AA11">
        <f>HYPERLINK("https://klasma.github.io/Logging_1281/klagomål/A 72269-2021 FSC-klagomål.docx", "A 72269-2021")</f>
        <v/>
      </c>
      <c r="AB11">
        <f>HYPERLINK("https://klasma.github.io/Logging_1281/klagomålsmail/A 72269-2021 FSC-klagomål mail.docx", "A 72269-2021")</f>
        <v/>
      </c>
      <c r="AC11">
        <f>HYPERLINK("https://klasma.github.io/Logging_1281/tillsyn/A 72269-2021 tillsynsbegäran.docx", "A 72269-2021")</f>
        <v/>
      </c>
      <c r="AD11">
        <f>HYPERLINK("https://klasma.github.io/Logging_1281/tillsynsmail/A 72269-2021 tillsynsbegäran mail.docx", "A 72269-2021")</f>
        <v/>
      </c>
    </row>
    <row r="12" ht="15" customHeight="1">
      <c r="A12" t="inlineStr">
        <is>
          <t>S 627-2025</t>
        </is>
      </c>
      <c r="B12" t="inlineStr">
        <is>
          <t>samrådsanmälan</t>
        </is>
      </c>
      <c r="C12" t="inlineStr">
        <is>
          <t>Askåterföring</t>
        </is>
      </c>
      <c r="D12" s="1" t="n">
        <v>45714</v>
      </c>
      <c r="E12" s="1" t="n">
        <v>46281</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46281</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46281</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46281</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39260-2025</t>
        </is>
      </c>
      <c r="B16" t="inlineStr">
        <is>
          <t>avverkningsanmälan</t>
        </is>
      </c>
      <c r="C16" t="inlineStr">
        <is>
          <t>Föryngringsavverkning</t>
        </is>
      </c>
      <c r="D16" s="1" t="n">
        <v>45889</v>
      </c>
      <c r="E16" s="1" t="n">
        <v>46281</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29075-2023</t>
        </is>
      </c>
      <c r="B17" t="inlineStr">
        <is>
          <t>avverkningsanmälan</t>
        </is>
      </c>
      <c r="C17" t="inlineStr">
        <is>
          <t>Föryngringsavverkning</t>
        </is>
      </c>
      <c r="D17" s="1" t="n">
        <v>45104</v>
      </c>
      <c r="E17" s="1" t="n">
        <v>46281</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55145-2023</t>
        </is>
      </c>
      <c r="B18" t="inlineStr">
        <is>
          <t>avverkningsanmälan</t>
        </is>
      </c>
      <c r="C18" t="inlineStr">
        <is>
          <t>Avverkning för att bevara och utveckla /försöksver</t>
        </is>
      </c>
      <c r="D18" s="1" t="n">
        <v>45237</v>
      </c>
      <c r="E18" s="1" t="n">
        <v>46281</v>
      </c>
      <c r="F18" t="inlineStr">
        <is>
          <t>SKÅNE LÄN</t>
        </is>
      </c>
      <c r="G18" t="inlineStr">
        <is>
          <t>LUND</t>
        </is>
      </c>
      <c r="H18" t="inlineStr">
        <is>
          <t>Kommuner</t>
        </is>
      </c>
      <c r="I18" t="n">
        <v>4.5</v>
      </c>
      <c r="J18" t="n">
        <v>0</v>
      </c>
      <c r="K18" t="n">
        <v>1</v>
      </c>
      <c r="L18" t="n">
        <v>0</v>
      </c>
      <c r="M18" t="n">
        <v>0</v>
      </c>
      <c r="N18" t="n">
        <v>0</v>
      </c>
      <c r="O18" t="n">
        <v>0</v>
      </c>
      <c r="P18" t="n">
        <v>0</v>
      </c>
      <c r="Q18" t="n">
        <v>0</v>
      </c>
      <c r="R18" t="n">
        <v>0</v>
      </c>
      <c r="S18" t="n">
        <v>1</v>
      </c>
      <c r="T18" t="n">
        <v>1</v>
      </c>
      <c r="U18" t="n">
        <v>1</v>
      </c>
      <c r="V18" s="2" t="inlineStr">
        <is>
          <t>Grovticka</t>
        </is>
      </c>
      <c r="W18">
        <f>HYPERLINK("https://klasma.github.io/Logging_1281/artfynd/A 55145-2023 artfynd.xlsx", "A 55145-2023")</f>
        <v/>
      </c>
      <c r="X18">
        <f>HYPERLINK("https://klasma.github.io/Logging_1281/kartor/A 55145-2023 karta.png", "A 55145-2023")</f>
        <v/>
      </c>
      <c r="Y18">
        <f>HYPERLINK("https://klasma.github.io/Logging_1281/kartor_geotiff/A 55145-2023 georefererad karta.tif", "A 55145-2023")</f>
        <v/>
      </c>
      <c r="AA18">
        <f>HYPERLINK("https://klasma.github.io/Logging_1281/klagomål/A 55145-2023 FSC-klagomål.docx", "A 55145-2023")</f>
        <v/>
      </c>
      <c r="AB18">
        <f>HYPERLINK("https://klasma.github.io/Logging_1281/klagomålsmail/A 55145-2023 FSC-klagomål mail.docx", "A 55145-2023")</f>
        <v/>
      </c>
      <c r="AC18">
        <f>HYPERLINK("https://klasma.github.io/Logging_1281/tillsyn/A 55145-2023 tillsynsbegäran.docx", "A 55145-2023")</f>
        <v/>
      </c>
      <c r="AD18">
        <f>HYPERLINK("https://klasma.github.io/Logging_1281/tillsynsmail/A 55145-2023 tillsynsbegäran mail.docx", "A 55145-2023")</f>
        <v/>
      </c>
    </row>
    <row r="19" ht="15" customHeight="1">
      <c r="A19" t="inlineStr">
        <is>
          <t>A 59227-2025</t>
        </is>
      </c>
      <c r="B19" t="inlineStr">
        <is>
          <t>avverkningsanmälan</t>
        </is>
      </c>
      <c r="C19" t="inlineStr">
        <is>
          <t>Föryngringsavverkning</t>
        </is>
      </c>
      <c r="D19" s="1" t="n">
        <v>45988</v>
      </c>
      <c r="E19" s="1" t="n">
        <v>46281</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46281</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11732-2024</t>
        </is>
      </c>
      <c r="B21" t="inlineStr">
        <is>
          <t>avverkningsanmälan</t>
        </is>
      </c>
      <c r="C21" t="inlineStr">
        <is>
          <t>Föryngringsavverkning</t>
        </is>
      </c>
      <c r="D21" s="1" t="n">
        <v>45373</v>
      </c>
      <c r="E21" s="1" t="n">
        <v>46281</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A 4746-2025</t>
        </is>
      </c>
      <c r="B22" t="inlineStr">
        <is>
          <t>avverkningsanmälan</t>
        </is>
      </c>
      <c r="C22" t="inlineStr">
        <is>
          <t>Föryngringsavverkning</t>
        </is>
      </c>
      <c r="D22" s="1" t="n">
        <v>45688</v>
      </c>
      <c r="E22" s="1" t="n">
        <v>46281</v>
      </c>
      <c r="F22" t="inlineStr">
        <is>
          <t>SKÅNE LÄN</t>
        </is>
      </c>
      <c r="G22" t="inlineStr">
        <is>
          <t>LUND</t>
        </is>
      </c>
      <c r="I22" t="n">
        <v>1.1</v>
      </c>
      <c r="J22" t="n">
        <v>1</v>
      </c>
      <c r="K22" t="n">
        <v>0</v>
      </c>
      <c r="L22" t="n">
        <v>0</v>
      </c>
      <c r="M22" t="n">
        <v>0</v>
      </c>
      <c r="N22" t="n">
        <v>0</v>
      </c>
      <c r="O22" t="n">
        <v>0</v>
      </c>
      <c r="P22" t="n">
        <v>0</v>
      </c>
      <c r="Q22" t="n">
        <v>0</v>
      </c>
      <c r="R22" t="n">
        <v>0</v>
      </c>
      <c r="S22" t="n">
        <v>1</v>
      </c>
      <c r="T22" t="n">
        <v>1</v>
      </c>
      <c r="U22" t="n">
        <v>0</v>
      </c>
      <c r="V22" s="2" t="inlineStr">
        <is>
          <t>Svartvit flugsnappare</t>
        </is>
      </c>
      <c r="W22">
        <f>HYPERLINK("https://klasma.github.io/Logging_1281/artfynd/A 4746-2025 artfynd.xlsx", "A 4746-2025")</f>
        <v/>
      </c>
      <c r="X22">
        <f>HYPERLINK("https://klasma.github.io/Logging_1281/kartor/A 4746-2025 karta.png", "A 4746-2025")</f>
        <v/>
      </c>
      <c r="Y22">
        <f>HYPERLINK("https://klasma.github.io/Logging_1281/kartor_geotiff/A 4746-2025 georefererad karta.tif", "A 4746-2025")</f>
        <v/>
      </c>
      <c r="AA22">
        <f>HYPERLINK("https://klasma.github.io/Logging_1281/klagomål/A 4746-2025 FSC-klagomål.docx", "A 4746-2025")</f>
        <v/>
      </c>
      <c r="AB22">
        <f>HYPERLINK("https://klasma.github.io/Logging_1281/klagomålsmail/A 4746-2025 FSC-klagomål mail.docx", "A 4746-2025")</f>
        <v/>
      </c>
      <c r="AC22">
        <f>HYPERLINK("https://klasma.github.io/Logging_1281/tillsyn/A 4746-2025 tillsynsbegäran.docx", "A 4746-2025")</f>
        <v/>
      </c>
      <c r="AD22">
        <f>HYPERLINK("https://klasma.github.io/Logging_1281/tillsynsmail/A 4746-2025 tillsynsbegäran mail.docx", "A 4746-2025")</f>
        <v/>
      </c>
    </row>
    <row r="23" ht="15" customHeight="1">
      <c r="A23" t="inlineStr">
        <is>
          <t>S 2231-2022</t>
        </is>
      </c>
      <c r="B23" t="inlineStr">
        <is>
          <t>samrådsanmälan</t>
        </is>
      </c>
      <c r="C23" t="inlineStr">
        <is>
          <t>Åtgärd i nyckelbiotop</t>
        </is>
      </c>
      <c r="D23" s="1" t="n">
        <v>44679</v>
      </c>
      <c r="E23" s="1" t="n">
        <v>46281</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46281</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46281</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46281</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16499-2025</t>
        </is>
      </c>
      <c r="B27" t="inlineStr">
        <is>
          <t>avverkningsanmälan</t>
        </is>
      </c>
      <c r="C27" t="inlineStr">
        <is>
          <t>Föryngringsavverkning</t>
        </is>
      </c>
      <c r="D27" s="1" t="n">
        <v>45751</v>
      </c>
      <c r="E27" s="1" t="n">
        <v>46281</v>
      </c>
      <c r="F27" t="inlineStr">
        <is>
          <t>SKÅNE LÄN</t>
        </is>
      </c>
      <c r="G27" t="inlineStr">
        <is>
          <t>LUND</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32972-2024</t>
        </is>
      </c>
      <c r="B28" t="inlineStr">
        <is>
          <t>avverkningsanmälan</t>
        </is>
      </c>
      <c r="C28" t="inlineStr">
        <is>
          <t>Föryngringsavverkning</t>
        </is>
      </c>
      <c r="D28" s="1" t="n">
        <v>45517</v>
      </c>
      <c r="E28" s="1" t="n">
        <v>46281</v>
      </c>
      <c r="F28" t="inlineStr">
        <is>
          <t>SKÅNE LÄN</t>
        </is>
      </c>
      <c r="G28" t="inlineStr">
        <is>
          <t>LUND</t>
        </is>
      </c>
      <c r="H28" t="inlineStr">
        <is>
          <t>Kommuner</t>
        </is>
      </c>
      <c r="I28" t="n">
        <v>20.7</v>
      </c>
      <c r="J28" t="n">
        <v>0</v>
      </c>
      <c r="K28" t="n">
        <v>0</v>
      </c>
      <c r="L28" t="n">
        <v>0</v>
      </c>
      <c r="M28" t="n">
        <v>0</v>
      </c>
      <c r="N28" t="n">
        <v>0</v>
      </c>
      <c r="O28" t="n">
        <v>0</v>
      </c>
      <c r="P28" t="n">
        <v>0</v>
      </c>
      <c r="Q28" t="n">
        <v>0</v>
      </c>
      <c r="R28" t="n">
        <v>0</v>
      </c>
      <c r="S28" t="n">
        <v>0</v>
      </c>
      <c r="T28" t="n">
        <v>0</v>
      </c>
      <c r="U28" t="n">
        <v>0</v>
      </c>
      <c r="V28" s="2" t="inlineStr"/>
    </row>
    <row r="29" ht="15" customHeight="1">
      <c r="A29" t="inlineStr">
        <is>
          <t>A 5059-2025</t>
        </is>
      </c>
      <c r="B29" t="inlineStr">
        <is>
          <t>avverkningsanmälan</t>
        </is>
      </c>
      <c r="C29" t="inlineStr">
        <is>
          <t>Föryngringsavverkning</t>
        </is>
      </c>
      <c r="D29" s="1" t="n">
        <v>45691</v>
      </c>
      <c r="E29" s="1" t="n">
        <v>46281</v>
      </c>
      <c r="F29" t="inlineStr">
        <is>
          <t>SKÅNE LÄN</t>
        </is>
      </c>
      <c r="G29" t="inlineStr">
        <is>
          <t>LUND</t>
        </is>
      </c>
      <c r="I29" t="n">
        <v>2.3</v>
      </c>
      <c r="J29" t="n">
        <v>0</v>
      </c>
      <c r="K29" t="n">
        <v>0</v>
      </c>
      <c r="L29" t="n">
        <v>0</v>
      </c>
      <c r="M29" t="n">
        <v>0</v>
      </c>
      <c r="N29" t="n">
        <v>0</v>
      </c>
      <c r="O29" t="n">
        <v>0</v>
      </c>
      <c r="P29" t="n">
        <v>0</v>
      </c>
      <c r="Q29" t="n">
        <v>0</v>
      </c>
      <c r="R29" t="n">
        <v>0</v>
      </c>
      <c r="S29" t="n">
        <v>0</v>
      </c>
      <c r="T29" t="n">
        <v>0</v>
      </c>
      <c r="U29" t="n">
        <v>0</v>
      </c>
      <c r="V29" s="2" t="inlineStr"/>
    </row>
    <row r="30" ht="15" customHeight="1">
      <c r="A30" t="inlineStr">
        <is>
          <t>A 59918-2022</t>
        </is>
      </c>
      <c r="B30" t="inlineStr">
        <is>
          <t>avverkningsanmälan</t>
        </is>
      </c>
      <c r="C30" t="inlineStr">
        <is>
          <t>Föryngringsavverkning</t>
        </is>
      </c>
      <c r="D30" s="1" t="n">
        <v>44909</v>
      </c>
      <c r="E30" s="1" t="n">
        <v>46281</v>
      </c>
      <c r="F30" t="inlineStr">
        <is>
          <t>SKÅNE LÄN</t>
        </is>
      </c>
      <c r="G30" t="inlineStr">
        <is>
          <t>LUND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46281</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58337-2025</t>
        </is>
      </c>
      <c r="B32" t="inlineStr">
        <is>
          <t>avverkningsanmälan</t>
        </is>
      </c>
      <c r="C32" t="inlineStr">
        <is>
          <t>Föryngringsavverkning</t>
        </is>
      </c>
      <c r="D32" s="1" t="n">
        <v>45985</v>
      </c>
      <c r="E32" s="1" t="n">
        <v>46281</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58335-2025</t>
        </is>
      </c>
      <c r="B33" t="inlineStr">
        <is>
          <t>avverkningsanmälan</t>
        </is>
      </c>
      <c r="C33" t="inlineStr">
        <is>
          <t>Föryngringsavverkning</t>
        </is>
      </c>
      <c r="D33" s="1" t="n">
        <v>45985</v>
      </c>
      <c r="E33" s="1" t="n">
        <v>46281</v>
      </c>
      <c r="F33" t="inlineStr">
        <is>
          <t>SKÅNE LÄN</t>
        </is>
      </c>
      <c r="G33" t="inlineStr">
        <is>
          <t>LUND</t>
        </is>
      </c>
      <c r="I33" t="n">
        <v>2.5</v>
      </c>
      <c r="J33" t="n">
        <v>0</v>
      </c>
      <c r="K33" t="n">
        <v>0</v>
      </c>
      <c r="L33" t="n">
        <v>0</v>
      </c>
      <c r="M33" t="n">
        <v>0</v>
      </c>
      <c r="N33" t="n">
        <v>0</v>
      </c>
      <c r="O33" t="n">
        <v>0</v>
      </c>
      <c r="P33" t="n">
        <v>0</v>
      </c>
      <c r="Q33" t="n">
        <v>0</v>
      </c>
      <c r="R33" t="n">
        <v>0</v>
      </c>
      <c r="S33" t="n">
        <v>0</v>
      </c>
      <c r="T33" t="n">
        <v>0</v>
      </c>
      <c r="U33" t="n">
        <v>0</v>
      </c>
      <c r="V33" s="2" t="inlineStr"/>
    </row>
    <row r="34" ht="15" customHeight="1">
      <c r="A34" t="inlineStr">
        <is>
          <t>A 44646-2023</t>
        </is>
      </c>
      <c r="B34" t="inlineStr">
        <is>
          <t>avverkningsanmälan</t>
        </is>
      </c>
      <c r="C34" t="inlineStr">
        <is>
          <t>Föryngringsavverkning</t>
        </is>
      </c>
      <c r="D34" s="1" t="n">
        <v>45189</v>
      </c>
      <c r="E34" s="1" t="n">
        <v>46281</v>
      </c>
      <c r="F34" t="inlineStr">
        <is>
          <t>SKÅNE LÄN</t>
        </is>
      </c>
      <c r="G34" t="inlineStr">
        <is>
          <t>LUND</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29083-2023</t>
        </is>
      </c>
      <c r="B35" t="inlineStr">
        <is>
          <t>avverkningsanmälan</t>
        </is>
      </c>
      <c r="C35" t="inlineStr">
        <is>
          <t>Föryngringsavverkning</t>
        </is>
      </c>
      <c r="D35" s="1" t="n">
        <v>45105</v>
      </c>
      <c r="E35" s="1" t="n">
        <v>46281</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21767-2023</t>
        </is>
      </c>
      <c r="B36" t="inlineStr">
        <is>
          <t>avverkningsanmälan</t>
        </is>
      </c>
      <c r="C36" t="inlineStr">
        <is>
          <t>Föryngringsavverkning</t>
        </is>
      </c>
      <c r="D36" s="1" t="n">
        <v>45065</v>
      </c>
      <c r="E36" s="1" t="n">
        <v>46281</v>
      </c>
      <c r="F36" t="inlineStr">
        <is>
          <t>SKÅNE LÄN</t>
        </is>
      </c>
      <c r="G36" t="inlineStr">
        <is>
          <t>LUND</t>
        </is>
      </c>
      <c r="I36" t="n">
        <v>1.9</v>
      </c>
      <c r="J36" t="n">
        <v>0</v>
      </c>
      <c r="K36" t="n">
        <v>0</v>
      </c>
      <c r="L36" t="n">
        <v>0</v>
      </c>
      <c r="M36" t="n">
        <v>0</v>
      </c>
      <c r="N36" t="n">
        <v>0</v>
      </c>
      <c r="O36" t="n">
        <v>0</v>
      </c>
      <c r="P36" t="n">
        <v>0</v>
      </c>
      <c r="Q36" t="n">
        <v>0</v>
      </c>
      <c r="R36" t="n">
        <v>0</v>
      </c>
      <c r="S36" t="n">
        <v>0</v>
      </c>
      <c r="T36" t="n">
        <v>0</v>
      </c>
      <c r="U36" t="n">
        <v>0</v>
      </c>
      <c r="V36" s="2" t="inlineStr"/>
    </row>
    <row r="37" ht="15" customHeight="1">
      <c r="A37" t="inlineStr">
        <is>
          <t>A 9889-2026</t>
        </is>
      </c>
      <c r="B37" t="inlineStr">
        <is>
          <t>avverkningsanmälan</t>
        </is>
      </c>
      <c r="C37" t="inlineStr">
        <is>
          <t>Föryngringsavverkning</t>
        </is>
      </c>
      <c r="D37" s="1" t="n">
        <v>46073</v>
      </c>
      <c r="E37" s="1" t="n">
        <v>46281</v>
      </c>
      <c r="F37" t="inlineStr">
        <is>
          <t>SKÅNE LÄN</t>
        </is>
      </c>
      <c r="G37" t="inlineStr">
        <is>
          <t>LUND</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49297-2023</t>
        </is>
      </c>
      <c r="B38" t="inlineStr">
        <is>
          <t>avverkningsanmälan</t>
        </is>
      </c>
      <c r="C38" t="inlineStr">
        <is>
          <t>Föryngringsavverkning</t>
        </is>
      </c>
      <c r="D38" s="1" t="n">
        <v>45210</v>
      </c>
      <c r="E38" s="1" t="n">
        <v>46281</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33019-2026</t>
        </is>
      </c>
      <c r="B39" t="inlineStr">
        <is>
          <t>avverkningsanmälan</t>
        </is>
      </c>
      <c r="C39" t="inlineStr">
        <is>
          <t>Föryngringsavverkning</t>
        </is>
      </c>
      <c r="D39" s="1" t="n">
        <v>46244</v>
      </c>
      <c r="E39" s="1" t="n">
        <v>46281</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31773-2023</t>
        </is>
      </c>
      <c r="B40" t="inlineStr">
        <is>
          <t>avverkningsanmälan</t>
        </is>
      </c>
      <c r="C40" t="inlineStr">
        <is>
          <t>Föryngringsavverkning</t>
        </is>
      </c>
      <c r="D40" s="1" t="n">
        <v>45118</v>
      </c>
      <c r="E40" s="1" t="n">
        <v>46281</v>
      </c>
      <c r="F40" t="inlineStr">
        <is>
          <t>SKÅNE LÄN</t>
        </is>
      </c>
      <c r="G40" t="inlineStr">
        <is>
          <t>LUND</t>
        </is>
      </c>
      <c r="H40" t="inlineStr">
        <is>
          <t>Kommuner</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13754-2022</t>
        </is>
      </c>
      <c r="B41" t="inlineStr">
        <is>
          <t>avverkningsanmälan</t>
        </is>
      </c>
      <c r="C41" t="inlineStr">
        <is>
          <t>Föryngringsavverkning</t>
        </is>
      </c>
      <c r="D41" s="1" t="n">
        <v>44649</v>
      </c>
      <c r="E41" s="1" t="n">
        <v>46281</v>
      </c>
      <c r="F41" t="inlineStr">
        <is>
          <t>SKÅNE LÄN</t>
        </is>
      </c>
      <c r="G41" t="inlineStr">
        <is>
          <t>LUND</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17519-2023</t>
        </is>
      </c>
      <c r="B42" t="inlineStr">
        <is>
          <t>avverkningsanmälan</t>
        </is>
      </c>
      <c r="C42" t="inlineStr">
        <is>
          <t>Avverkning för annat ändamål</t>
        </is>
      </c>
      <c r="D42" s="1" t="n">
        <v>45036</v>
      </c>
      <c r="E42" s="1" t="n">
        <v>46281</v>
      </c>
      <c r="F42" t="inlineStr">
        <is>
          <t>SKÅNE LÄN</t>
        </is>
      </c>
      <c r="G42" t="inlineStr">
        <is>
          <t>LUND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30506-2026</t>
        </is>
      </c>
      <c r="B43" t="inlineStr">
        <is>
          <t>avverkningsanmälan</t>
        </is>
      </c>
      <c r="C43" t="inlineStr">
        <is>
          <t>Föryngringsavverkning</t>
        </is>
      </c>
      <c r="D43" s="1" t="n">
        <v>46210</v>
      </c>
      <c r="E43" s="1" t="n">
        <v>46281</v>
      </c>
      <c r="F43" t="inlineStr">
        <is>
          <t>SKÅNE LÄN</t>
        </is>
      </c>
      <c r="G43" t="inlineStr">
        <is>
          <t>LUND</t>
        </is>
      </c>
      <c r="H43" t="inlineStr">
        <is>
          <t>Kommuner</t>
        </is>
      </c>
      <c r="I43" t="n">
        <v>6.6</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46281</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46281</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2026-09-16T01:59:01Z</dcterms:created>
  <dcterms:modified xmlns:dcterms="http://purl.org/dc/terms/" xmlns:xsi="http://www.w3.org/2001/XMLSchema-instance" xsi:type="dcterms:W3CDTF">2026-09-16T01:59:01Z</dcterms:modified>
</cp:coreProperties>
</file>