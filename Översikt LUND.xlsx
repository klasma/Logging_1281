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46192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46192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46192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46192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46192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26984-2022</t>
        </is>
      </c>
      <c r="B8" s="1" t="n">
        <v>44740</v>
      </c>
      <c r="C8" s="1" t="n">
        <v>46192</v>
      </c>
      <c r="D8" t="inlineStr">
        <is>
          <t>SKÅNE LÄN</t>
        </is>
      </c>
      <c r="E8" t="inlineStr">
        <is>
          <t>LUND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26984-2022 artfynd.xlsx", "A 26984-2022")</f>
        <v/>
      </c>
      <c r="T8">
        <f>HYPERLINK("https://klasma.github.io/Logging_1281/kartor/A 26984-2022 karta.png", "A 26984-2022")</f>
        <v/>
      </c>
      <c r="V8">
        <f>HYPERLINK("https://klasma.github.io/Logging_1281/klagomål/A 26984-2022 FSC-klagomål.docx", "A 26984-2022")</f>
        <v/>
      </c>
      <c r="W8">
        <f>HYPERLINK("https://klasma.github.io/Logging_1281/klagomålsmail/A 26984-2022 FSC-klagomål mail.docx", "A 26984-2022")</f>
        <v/>
      </c>
      <c r="X8">
        <f>HYPERLINK("https://klasma.github.io/Logging_1281/tillsyn/A 26984-2022 tillsynsbegäran.docx", "A 26984-2022")</f>
        <v/>
      </c>
      <c r="Y8">
        <f>HYPERLINK("https://klasma.github.io/Logging_1281/tillsynsmail/A 26984-2022 tillsynsbegäran mail.docx", "A 26984-2022")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46192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46192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Blanksvart trämyra
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46192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39260-2025</t>
        </is>
      </c>
      <c r="B12" s="1" t="n">
        <v>45889</v>
      </c>
      <c r="C12" s="1" t="n">
        <v>46192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55158-2023</t>
        </is>
      </c>
      <c r="B13" s="1" t="n">
        <v>45237</v>
      </c>
      <c r="C13" s="1" t="n">
        <v>46192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Backtimjan</t>
        </is>
      </c>
      <c r="S13">
        <f>HYPERLINK("https://klasma.github.io/Logging_1281/artfynd/A 55158-2023 artfynd.xlsx", "A 55158-2023")</f>
        <v/>
      </c>
      <c r="T13">
        <f>HYPERLINK("https://klasma.github.io/Logging_1281/kartor/A 55158-2023 karta.png", "A 55158-2023")</f>
        <v/>
      </c>
      <c r="V13">
        <f>HYPERLINK("https://klasma.github.io/Logging_1281/klagomål/A 55158-2023 FSC-klagomål.docx", "A 55158-2023")</f>
        <v/>
      </c>
      <c r="W13">
        <f>HYPERLINK("https://klasma.github.io/Logging_1281/klagomålsmail/A 55158-2023 FSC-klagomål mail.docx", "A 55158-2023")</f>
        <v/>
      </c>
      <c r="X13">
        <f>HYPERLINK("https://klasma.github.io/Logging_1281/tillsyn/A 55158-2023 tillsynsbegäran.docx", "A 55158-2023")</f>
        <v/>
      </c>
      <c r="Y13">
        <f>HYPERLINK("https://klasma.github.io/Logging_1281/tillsynsmail/A 55158-2023 tillsynsbegäran mail.docx", "A 55158-2023")</f>
        <v/>
      </c>
    </row>
    <row r="14" ht="15" customHeight="1">
      <c r="A14" t="inlineStr">
        <is>
          <t>A 11732-2024</t>
        </is>
      </c>
      <c r="B14" s="1" t="n">
        <v>45373</v>
      </c>
      <c r="C14" s="1" t="n">
        <v>46192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59227-2025</t>
        </is>
      </c>
      <c r="B15" s="1" t="n">
        <v>45988</v>
      </c>
      <c r="C15" s="1" t="n">
        <v>46192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46192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15984-2025</t>
        </is>
      </c>
      <c r="B17" s="1" t="n">
        <v>45749</v>
      </c>
      <c r="C17" s="1" t="n">
        <v>46192</v>
      </c>
      <c r="D17" t="inlineStr">
        <is>
          <t>SKÅNE LÄN</t>
        </is>
      </c>
      <c r="E17" t="inlineStr">
        <is>
          <t>LUND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HYPERLINK("https://klasma.github.io/Logging_1281/artfynd/A 15984-2025 artfynd.xlsx", "A 15984-2025")</f>
        <v/>
      </c>
      <c r="T17">
        <f>HYPERLINK("https://klasma.github.io/Logging_1281/kartor/A 15984-2025 karta.png", "A 15984-2025")</f>
        <v/>
      </c>
      <c r="V17">
        <f>HYPERLINK("https://klasma.github.io/Logging_1281/klagomål/A 15984-2025 FSC-klagomål.docx", "A 15984-2025")</f>
        <v/>
      </c>
      <c r="W17">
        <f>HYPERLINK("https://klasma.github.io/Logging_1281/klagomålsmail/A 15984-2025 FSC-klagomål mail.docx", "A 15984-2025")</f>
        <v/>
      </c>
      <c r="X17">
        <f>HYPERLINK("https://klasma.github.io/Logging_1281/tillsyn/A 15984-2025 tillsynsbegäran.docx", "A 15984-2025")</f>
        <v/>
      </c>
      <c r="Y17">
        <f>HYPERLINK("https://klasma.github.io/Logging_1281/tillsynsmail/A 15984-2025 tillsynsbegäran mail.docx", "A 15984-2025")</f>
        <v/>
      </c>
    </row>
    <row r="18" ht="15" customHeight="1">
      <c r="A18" t="inlineStr">
        <is>
          <t>A 29075-2023</t>
        </is>
      </c>
      <c r="B18" s="1" t="n">
        <v>45104</v>
      </c>
      <c r="C18" s="1" t="n">
        <v>46192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Bokvårtlav</t>
        </is>
      </c>
      <c r="S18">
        <f>HYPERLINK("https://klasma.github.io/Logging_1281/artfynd/A 29075-2023 artfynd.xlsx", "A 29075-2023")</f>
        <v/>
      </c>
      <c r="T18">
        <f>HYPERLINK("https://klasma.github.io/Logging_1281/kartor/A 29075-2023 karta.png", "A 29075-2023")</f>
        <v/>
      </c>
      <c r="V18">
        <f>HYPERLINK("https://klasma.github.io/Logging_1281/klagomål/A 29075-2023 FSC-klagomål.docx", "A 29075-2023")</f>
        <v/>
      </c>
      <c r="W18">
        <f>HYPERLINK("https://klasma.github.io/Logging_1281/klagomålsmail/A 29075-2023 FSC-klagomål mail.docx", "A 29075-2023")</f>
        <v/>
      </c>
      <c r="X18">
        <f>HYPERLINK("https://klasma.github.io/Logging_1281/tillsyn/A 29075-2023 tillsynsbegäran.docx", "A 29075-2023")</f>
        <v/>
      </c>
      <c r="Y18">
        <f>HYPERLINK("https://klasma.github.io/Logging_1281/tillsynsmail/A 29075-2023 tillsynsbegäran mail.docx", "A 29075-2023")</f>
        <v/>
      </c>
    </row>
    <row r="19" ht="15" customHeight="1">
      <c r="A19" t="inlineStr">
        <is>
          <t>A 33985-2021</t>
        </is>
      </c>
      <c r="B19" s="1" t="n">
        <v>44378</v>
      </c>
      <c r="C19" s="1" t="n">
        <v>46192</v>
      </c>
      <c r="D19" t="inlineStr">
        <is>
          <t>SKÅNE LÄN</t>
        </is>
      </c>
      <c r="E19" t="inlineStr">
        <is>
          <t>LUND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HYPERLINK("https://klasma.github.io/Logging_1281/artfynd/A 33985-2021 artfynd.xlsx", "A 33985-2021")</f>
        <v/>
      </c>
      <c r="T19">
        <f>HYPERLINK("https://klasma.github.io/Logging_1281/kartor/A 33985-2021 karta.png", "A 33985-2021")</f>
        <v/>
      </c>
      <c r="V19">
        <f>HYPERLINK("https://klasma.github.io/Logging_1281/klagomål/A 33985-2021 FSC-klagomål.docx", "A 33985-2021")</f>
        <v/>
      </c>
      <c r="W19">
        <f>HYPERLINK("https://klasma.github.io/Logging_1281/klagomålsmail/A 33985-2021 FSC-klagomål mail.docx", "A 33985-2021")</f>
        <v/>
      </c>
      <c r="X19">
        <f>HYPERLINK("https://klasma.github.io/Logging_1281/tillsyn/A 33985-2021 tillsynsbegäran.docx", "A 33985-2021")</f>
        <v/>
      </c>
      <c r="Y19">
        <f>HYPERLINK("https://klasma.github.io/Logging_1281/tillsynsmail/A 33985-2021 tillsynsbegäran mail.docx", "A 33985-2021")</f>
        <v/>
      </c>
    </row>
    <row r="20" ht="15" customHeight="1">
      <c r="A20" t="inlineStr">
        <is>
          <t>A 35443-2021</t>
        </is>
      </c>
      <c r="B20" s="1" t="n">
        <v>44385</v>
      </c>
      <c r="C20" s="1" t="n">
        <v>46192</v>
      </c>
      <c r="D20" t="inlineStr">
        <is>
          <t>SKÅNE LÄN</t>
        </is>
      </c>
      <c r="E20" t="inlineStr">
        <is>
          <t>LUND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Klubbfibbla</t>
        </is>
      </c>
      <c r="S20">
        <f>HYPERLINK("https://klasma.github.io/Logging_1281/artfynd/A 35443-2021 artfynd.xlsx", "A 35443-2021")</f>
        <v/>
      </c>
      <c r="T20">
        <f>HYPERLINK("https://klasma.github.io/Logging_1281/kartor/A 35443-2021 karta.png", "A 35443-2021")</f>
        <v/>
      </c>
      <c r="V20">
        <f>HYPERLINK("https://klasma.github.io/Logging_1281/klagomål/A 35443-2021 FSC-klagomål.docx", "A 35443-2021")</f>
        <v/>
      </c>
      <c r="W20">
        <f>HYPERLINK("https://klasma.github.io/Logging_1281/klagomålsmail/A 35443-2021 FSC-klagomål mail.docx", "A 35443-2021")</f>
        <v/>
      </c>
      <c r="X20">
        <f>HYPERLINK("https://klasma.github.io/Logging_1281/tillsyn/A 35443-2021 tillsynsbegäran.docx", "A 35443-2021")</f>
        <v/>
      </c>
      <c r="Y20">
        <f>HYPERLINK("https://klasma.github.io/Logging_1281/tillsynsmail/A 35443-2021 tillsynsbegäran mail.docx", "A 35443-2021")</f>
        <v/>
      </c>
    </row>
    <row r="21" ht="15" customHeight="1">
      <c r="A21" t="inlineStr">
        <is>
          <t>A 4746-2025</t>
        </is>
      </c>
      <c r="B21" s="1" t="n">
        <v>45688</v>
      </c>
      <c r="C21" s="1" t="n">
        <v>46192</v>
      </c>
      <c r="D21" t="inlineStr">
        <is>
          <t>SKÅNE LÄN</t>
        </is>
      </c>
      <c r="E21" t="inlineStr">
        <is>
          <t>LUND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HYPERLINK("https://klasma.github.io/Logging_1281/artfynd/A 4746-2025 artfynd.xlsx", "A 4746-2025")</f>
        <v/>
      </c>
      <c r="T21">
        <f>HYPERLINK("https://klasma.github.io/Logging_1281/kartor/A 4746-2025 karta.png", "A 4746-2025")</f>
        <v/>
      </c>
      <c r="V21">
        <f>HYPERLINK("https://klasma.github.io/Logging_1281/klagomål/A 4746-2025 FSC-klagomål.docx", "A 4746-2025")</f>
        <v/>
      </c>
      <c r="W21">
        <f>HYPERLINK("https://klasma.github.io/Logging_1281/klagomålsmail/A 4746-2025 FSC-klagomål mail.docx", "A 4746-2025")</f>
        <v/>
      </c>
      <c r="X21">
        <f>HYPERLINK("https://klasma.github.io/Logging_1281/tillsyn/A 4746-2025 tillsynsbegäran.docx", "A 4746-2025")</f>
        <v/>
      </c>
      <c r="Y21">
        <f>HYPERLINK("https://klasma.github.io/Logging_1281/tillsynsmail/A 4746-2025 tillsynsbegäran mail.docx", "A 4746-2025")</f>
        <v/>
      </c>
      <c r="Z21">
        <f>HYPERLINK("https://klasma.github.io/Logging_1281/fåglar/A 4746-2025 prioriterade fågelarter.docx", "A 4746-2025")</f>
        <v/>
      </c>
    </row>
    <row r="22" ht="15" customHeight="1">
      <c r="A22" t="inlineStr">
        <is>
          <t>A 34484-2025</t>
        </is>
      </c>
      <c r="B22" s="1" t="n">
        <v>45847</v>
      </c>
      <c r="C22" s="1" t="n">
        <v>46192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HYPERLINK("https://klasma.github.io/Logging_1281/artfynd/A 34484-2025 artfynd.xlsx", "A 34484-2025")</f>
        <v/>
      </c>
      <c r="T22">
        <f>HYPERLINK("https://klasma.github.io/Logging_1281/kartor/A 34484-2025 karta.png", "A 34484-2025")</f>
        <v/>
      </c>
      <c r="V22">
        <f>HYPERLINK("https://klasma.github.io/Logging_1281/klagomål/A 34484-2025 FSC-klagomål.docx", "A 34484-2025")</f>
        <v/>
      </c>
      <c r="W22">
        <f>HYPERLINK("https://klasma.github.io/Logging_1281/klagomålsmail/A 34484-2025 FSC-klagomål mail.docx", "A 34484-2025")</f>
        <v/>
      </c>
      <c r="X22">
        <f>HYPERLINK("https://klasma.github.io/Logging_1281/tillsyn/A 34484-2025 tillsynsbegäran.docx", "A 34484-2025")</f>
        <v/>
      </c>
      <c r="Y22">
        <f>HYPERLINK("https://klasma.github.io/Logging_1281/tillsynsmail/A 34484-2025 tillsynsbegäran mail.docx", "A 34484-2025")</f>
        <v/>
      </c>
    </row>
    <row r="23" ht="15" customHeight="1">
      <c r="A23" t="inlineStr">
        <is>
          <t>A 27377-2026</t>
        </is>
      </c>
      <c r="B23" s="1" t="n">
        <v>46189</v>
      </c>
      <c r="C23" s="1" t="n">
        <v>46192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Ätlig groda</t>
        </is>
      </c>
      <c r="S23">
        <f>HYPERLINK("https://klasma.github.io/Logging_1281/artfynd/A 27377-2026 artfynd.xlsx", "A 27377-2026")</f>
        <v/>
      </c>
      <c r="T23">
        <f>HYPERLINK("https://klasma.github.io/Logging_1281/kartor/A 27377-2026 karta.png", "A 27377-2026")</f>
        <v/>
      </c>
      <c r="V23">
        <f>HYPERLINK("https://klasma.github.io/Logging_1281/klagomål/A 27377-2026 FSC-klagomål.docx", "A 27377-2026")</f>
        <v/>
      </c>
      <c r="W23">
        <f>HYPERLINK("https://klasma.github.io/Logging_1281/klagomålsmail/A 27377-2026 FSC-klagomål mail.docx", "A 27377-2026")</f>
        <v/>
      </c>
      <c r="X23">
        <f>HYPERLINK("https://klasma.github.io/Logging_1281/tillsyn/A 27377-2026 tillsynsbegäran.docx", "A 27377-2026")</f>
        <v/>
      </c>
      <c r="Y23">
        <f>HYPERLINK("https://klasma.github.io/Logging_1281/tillsynsmail/A 27377-2026 tillsynsbegäran mail.docx", "A 27377-2026")</f>
        <v/>
      </c>
    </row>
    <row r="24" ht="15" customHeight="1">
      <c r="A24" t="inlineStr">
        <is>
          <t>A 56855-2021</t>
        </is>
      </c>
      <c r="B24" s="1" t="n">
        <v>44481</v>
      </c>
      <c r="C24" s="1" t="n">
        <v>46192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68005-2021</t>
        </is>
      </c>
      <c r="B25" s="1" t="n">
        <v>44525</v>
      </c>
      <c r="C25" s="1" t="n">
        <v>46192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</v>
      </c>
      <c r="C26" s="1" t="n">
        <v>46192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14058-2025</t>
        </is>
      </c>
      <c r="B27" s="1" t="n">
        <v>45740</v>
      </c>
      <c r="C27" s="1" t="n">
        <v>46192</v>
      </c>
      <c r="D27" t="inlineStr">
        <is>
          <t>SKÅNE LÄN</t>
        </is>
      </c>
      <c r="E27" t="inlineStr">
        <is>
          <t>LUND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46192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4792-2025</t>
        </is>
      </c>
      <c r="B29" s="1" t="n">
        <v>45688</v>
      </c>
      <c r="C29" s="1" t="n">
        <v>46192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46192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</v>
      </c>
      <c r="C31" s="1" t="n">
        <v>46192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</v>
      </c>
      <c r="C32" s="1" t="n">
        <v>46192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</v>
      </c>
      <c r="C33" s="1" t="n">
        <v>46192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</v>
      </c>
      <c r="C34" s="1" t="n">
        <v>46192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46192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</v>
      </c>
      <c r="C36" s="1" t="n">
        <v>46192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46192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49297-2023</t>
        </is>
      </c>
      <c r="B38" s="1" t="n">
        <v>45210</v>
      </c>
      <c r="C38" s="1" t="n">
        <v>46192</v>
      </c>
      <c r="D38" t="inlineStr">
        <is>
          <t>SKÅNE LÄN</t>
        </is>
      </c>
      <c r="E38" t="inlineStr">
        <is>
          <t>LUND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46192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32972-2024</t>
        </is>
      </c>
      <c r="B40" s="1" t="n">
        <v>45517</v>
      </c>
      <c r="C40" s="1" t="n">
        <v>46192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46192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</v>
      </c>
      <c r="C42" s="1" t="n">
        <v>46192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45725-2022</t>
        </is>
      </c>
      <c r="B43" s="1" t="n">
        <v>44846</v>
      </c>
      <c r="C43" s="1" t="n">
        <v>46192</v>
      </c>
      <c r="D43" t="inlineStr">
        <is>
          <t>SKÅNE LÄN</t>
        </is>
      </c>
      <c r="E43" t="inlineStr">
        <is>
          <t>LUND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46192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46192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20057-2025</t>
        </is>
      </c>
      <c r="B46" s="1" t="n">
        <v>45772</v>
      </c>
      <c r="C46" s="1" t="n">
        <v>46192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17519-2023</t>
        </is>
      </c>
      <c r="B47" s="1" t="n">
        <v>45036</v>
      </c>
      <c r="C47" s="1" t="n">
        <v>46192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16499-2025</t>
        </is>
      </c>
      <c r="B48" s="1" t="n">
        <v>45751</v>
      </c>
      <c r="C48" s="1" t="n">
        <v>46192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20277-2026</t>
        </is>
      </c>
      <c r="B49" s="1" t="n">
        <v>46139</v>
      </c>
      <c r="C49" s="1" t="n">
        <v>46192</v>
      </c>
      <c r="D49" t="inlineStr">
        <is>
          <t>SKÅNE LÄN</t>
        </is>
      </c>
      <c r="E49" t="inlineStr">
        <is>
          <t>LUND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2026-06-19T00:41:50Z</dcterms:created>
  <dcterms:modified xmlns:dcterms="http://purl.org/dc/terms/" xmlns:xsi="http://www.w3.org/2001/XMLSchema-instance" xsi:type="dcterms:W3CDTF">2026-06-19T00:41:50Z</dcterms:modified>
</cp:coreProperties>
</file>