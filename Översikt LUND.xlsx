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45929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45929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45929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45929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45929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45929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45929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45929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45929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45929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45929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45929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45929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45929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39260-2025</t>
        </is>
      </c>
      <c r="B16" s="1" t="n">
        <v>45889.37043981482</v>
      </c>
      <c r="C16" s="1" t="n">
        <v>45929</v>
      </c>
      <c r="D16" t="inlineStr">
        <is>
          <t>SKÅNE LÄN</t>
        </is>
      </c>
      <c r="E16" t="inlineStr">
        <is>
          <t>LUND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HYPERLINK("https://klasma.github.io/Logging_1281/artfynd/A 39260-2025 artfynd.xlsx", "A 39260-2025")</f>
        <v/>
      </c>
      <c r="T16">
        <f>HYPERLINK("https://klasma.github.io/Logging_1281/kartor/A 39260-2025 karta.png", "A 39260-2025")</f>
        <v/>
      </c>
      <c r="V16">
        <f>HYPERLINK("https://klasma.github.io/Logging_1281/klagomål/A 39260-2025 FSC-klagomål.docx", "A 39260-2025")</f>
        <v/>
      </c>
      <c r="W16">
        <f>HYPERLINK("https://klasma.github.io/Logging_1281/klagomålsmail/A 39260-2025 FSC-klagomål mail.docx", "A 39260-2025")</f>
        <v/>
      </c>
      <c r="X16">
        <f>HYPERLINK("https://klasma.github.io/Logging_1281/tillsyn/A 39260-2025 tillsynsbegäran.docx", "A 39260-2025")</f>
        <v/>
      </c>
      <c r="Y16">
        <f>HYPERLINK("https://klasma.github.io/Logging_1281/tillsynsmail/A 39260-2025 tillsynsbegäran mail.docx", "A 39260-2025")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45929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45929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45929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45929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45929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45929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59918-2022</t>
        </is>
      </c>
      <c r="B23" s="1" t="n">
        <v>44909</v>
      </c>
      <c r="C23" s="1" t="n">
        <v>45929</v>
      </c>
      <c r="D23" t="inlineStr">
        <is>
          <t>SKÅNE LÄN</t>
        </is>
      </c>
      <c r="E23" t="inlineStr">
        <is>
          <t>LUND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45929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15984-2025</t>
        </is>
      </c>
      <c r="B25" s="1" t="n">
        <v>45749</v>
      </c>
      <c r="C25" s="1" t="n">
        <v>45929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29083-2023</t>
        </is>
      </c>
      <c r="B26" s="1" t="n">
        <v>45105</v>
      </c>
      <c r="C26" s="1" t="n">
        <v>45929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49297-2023</t>
        </is>
      </c>
      <c r="B27" s="1" t="n">
        <v>45210</v>
      </c>
      <c r="C27" s="1" t="n">
        <v>45929</v>
      </c>
      <c r="D27" t="inlineStr">
        <is>
          <t>SKÅNE LÄN</t>
        </is>
      </c>
      <c r="E27" t="inlineStr">
        <is>
          <t>LUND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45929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6034-2025</t>
        </is>
      </c>
      <c r="B29" s="1" t="n">
        <v>45695.64231481482</v>
      </c>
      <c r="C29" s="1" t="n">
        <v>45929</v>
      </c>
      <c r="D29" t="inlineStr">
        <is>
          <t>SKÅNE LÄN</t>
        </is>
      </c>
      <c r="E29" t="inlineStr">
        <is>
          <t>LUND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45929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45929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45929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4803-2025</t>
        </is>
      </c>
      <c r="B33" s="1" t="n">
        <v>45688.59399305555</v>
      </c>
      <c r="C33" s="1" t="n">
        <v>45929</v>
      </c>
      <c r="D33" t="inlineStr">
        <is>
          <t>SKÅNE LÄN</t>
        </is>
      </c>
      <c r="E33" t="inlineStr">
        <is>
          <t>LUND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2248-2025</t>
        </is>
      </c>
      <c r="B34" s="1" t="n">
        <v>45673.49231481482</v>
      </c>
      <c r="C34" s="1" t="n">
        <v>45929</v>
      </c>
      <c r="D34" t="inlineStr">
        <is>
          <t>SKÅNE LÄN</t>
        </is>
      </c>
      <c r="E34" t="inlineStr">
        <is>
          <t>LUND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17519-2023</t>
        </is>
      </c>
      <c r="B35" s="1" t="n">
        <v>45036</v>
      </c>
      <c r="C35" s="1" t="n">
        <v>45929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45929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45929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45929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45929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29247-2025</t>
        </is>
      </c>
      <c r="B40" s="1" t="n">
        <v>45824</v>
      </c>
      <c r="C40" s="1" t="n">
        <v>45929</v>
      </c>
      <c r="D40" t="inlineStr">
        <is>
          <t>SKÅNE LÄN</t>
        </is>
      </c>
      <c r="E40" t="inlineStr">
        <is>
          <t>LUND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45929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45929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28885-2022</t>
        </is>
      </c>
      <c r="B43" s="1" t="n">
        <v>44749</v>
      </c>
      <c r="C43" s="1" t="n">
        <v>45929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45751.60246527778</v>
      </c>
      <c r="C44" s="1" t="n">
        <v>45929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59733-2023</t>
        </is>
      </c>
      <c r="B45" s="1" t="n">
        <v>45257</v>
      </c>
      <c r="C45" s="1" t="n">
        <v>45929</v>
      </c>
      <c r="D45" t="inlineStr">
        <is>
          <t>SKÅNE LÄN</t>
        </is>
      </c>
      <c r="E45" t="inlineStr">
        <is>
          <t>LUND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55158-2023</t>
        </is>
      </c>
      <c r="B46" s="1" t="n">
        <v>45237</v>
      </c>
      <c r="C46" s="1" t="n">
        <v>45929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2025-09-29T12:17:31Z</dcterms:created>
  <dcterms:modified xmlns:dcterms="http://purl.org/dc/terms/" xmlns:xsi="http://www.w3.org/2001/XMLSchema-instance" xsi:type="dcterms:W3CDTF">2025-09-29T12:17:31Z</dcterms:modified>
</cp:coreProperties>
</file>