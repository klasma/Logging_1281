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46113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46113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46113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46113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4816-2025</t>
        </is>
      </c>
      <c r="B6" s="1" t="n">
        <v>45688.62052083333</v>
      </c>
      <c r="C6" s="1" t="n">
        <v>46113</v>
      </c>
      <c r="D6" t="inlineStr">
        <is>
          <t>SKÅNE LÄN</t>
        </is>
      </c>
      <c r="E6" t="inlineStr">
        <is>
          <t>LUND</t>
        </is>
      </c>
      <c r="G6" t="n">
        <v>7.7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Sydlig sotticka
Strutbräken</t>
        </is>
      </c>
      <c r="S6">
        <f>HYPERLINK("https://klasma.github.io/Logging_1281/artfynd/A 4816-2025 artfynd.xlsx", "A 4816-2025")</f>
        <v/>
      </c>
      <c r="T6">
        <f>HYPERLINK("https://klasma.github.io/Logging_1281/kartor/A 4816-2025 karta.png", "A 4816-2025")</f>
        <v/>
      </c>
      <c r="V6">
        <f>HYPERLINK("https://klasma.github.io/Logging_1281/klagomål/A 4816-2025 FSC-klagomål.docx", "A 4816-2025")</f>
        <v/>
      </c>
      <c r="W6">
        <f>HYPERLINK("https://klasma.github.io/Logging_1281/klagomålsmail/A 4816-2025 FSC-klagomål mail.docx", "A 4816-2025")</f>
        <v/>
      </c>
      <c r="X6">
        <f>HYPERLINK("https://klasma.github.io/Logging_1281/tillsyn/A 4816-2025 tillsynsbegäran.docx", "A 4816-2025")</f>
        <v/>
      </c>
      <c r="Y6">
        <f>HYPERLINK("https://klasma.github.io/Logging_1281/tillsynsmail/A 4816-2025 tillsynsbegäran mail.docx", "A 4816-2025")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46113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46113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46113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46113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46113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46113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46113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46113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46113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46113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46113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46113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46113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46113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6034-2025</t>
        </is>
      </c>
      <c r="B21" s="1" t="n">
        <v>45695.64231481482</v>
      </c>
      <c r="C21" s="1" t="n">
        <v>46113</v>
      </c>
      <c r="D21" t="inlineStr">
        <is>
          <t>SKÅNE LÄN</t>
        </is>
      </c>
      <c r="E21" t="inlineStr">
        <is>
          <t>LUND</t>
        </is>
      </c>
      <c r="G21" t="n">
        <v>10.2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2248-2025</t>
        </is>
      </c>
      <c r="B22" s="1" t="n">
        <v>45673.49231481482</v>
      </c>
      <c r="C22" s="1" t="n">
        <v>46113</v>
      </c>
      <c r="D22" t="inlineStr">
        <is>
          <t>SKÅNE LÄN</t>
        </is>
      </c>
      <c r="E22" t="inlineStr">
        <is>
          <t>LUND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59918-2022</t>
        </is>
      </c>
      <c r="B23" s="1" t="n">
        <v>44909</v>
      </c>
      <c r="C23" s="1" t="n">
        <v>46113</v>
      </c>
      <c r="D23" t="inlineStr">
        <is>
          <t>SKÅNE LÄN</t>
        </is>
      </c>
      <c r="E23" t="inlineStr">
        <is>
          <t>LUND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45725-2022</t>
        </is>
      </c>
      <c r="B24" s="1" t="n">
        <v>44846</v>
      </c>
      <c r="C24" s="1" t="n">
        <v>46113</v>
      </c>
      <c r="D24" t="inlineStr">
        <is>
          <t>SKÅNE LÄN</t>
        </is>
      </c>
      <c r="E24" t="inlineStr">
        <is>
          <t>LUND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33985-2021</t>
        </is>
      </c>
      <c r="B25" s="1" t="n">
        <v>44378</v>
      </c>
      <c r="C25" s="1" t="n">
        <v>46113</v>
      </c>
      <c r="D25" t="inlineStr">
        <is>
          <t>SKÅNE LÄN</t>
        </is>
      </c>
      <c r="E25" t="inlineStr">
        <is>
          <t>LUND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14058-2025</t>
        </is>
      </c>
      <c r="B26" s="1" t="n">
        <v>45740.40390046296</v>
      </c>
      <c r="C26" s="1" t="n">
        <v>46113</v>
      </c>
      <c r="D26" t="inlineStr">
        <is>
          <t>SKÅNE LÄN</t>
        </is>
      </c>
      <c r="E26" t="inlineStr">
        <is>
          <t>LUND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45517.42064814815</v>
      </c>
      <c r="C27" s="1" t="n">
        <v>46113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8601-2023</t>
        </is>
      </c>
      <c r="B28" s="1" t="n">
        <v>44977</v>
      </c>
      <c r="C28" s="1" t="n">
        <v>46113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5059-2025</t>
        </is>
      </c>
      <c r="B29" s="1" t="n">
        <v>45691.47211805556</v>
      </c>
      <c r="C29" s="1" t="n">
        <v>46113</v>
      </c>
      <c r="D29" t="inlineStr">
        <is>
          <t>SKÅNE LÄN</t>
        </is>
      </c>
      <c r="E29" t="inlineStr">
        <is>
          <t>LUND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46113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20057-2025</t>
        </is>
      </c>
      <c r="B31" s="1" t="n">
        <v>45772</v>
      </c>
      <c r="C31" s="1" t="n">
        <v>46113</v>
      </c>
      <c r="D31" t="inlineStr">
        <is>
          <t>SKÅNE LÄN</t>
        </is>
      </c>
      <c r="E31" t="inlineStr">
        <is>
          <t>LUND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21767-2023</t>
        </is>
      </c>
      <c r="B32" s="1" t="n">
        <v>45065</v>
      </c>
      <c r="C32" s="1" t="n">
        <v>46113</v>
      </c>
      <c r="D32" t="inlineStr">
        <is>
          <t>SKÅNE LÄN</t>
        </is>
      </c>
      <c r="E32" t="inlineStr">
        <is>
          <t>LUND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29247-2025</t>
        </is>
      </c>
      <c r="B33" s="1" t="n">
        <v>45824</v>
      </c>
      <c r="C33" s="1" t="n">
        <v>46113</v>
      </c>
      <c r="D33" t="inlineStr">
        <is>
          <t>SKÅNE LÄN</t>
        </is>
      </c>
      <c r="E33" t="inlineStr">
        <is>
          <t>LUND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31773-2023</t>
        </is>
      </c>
      <c r="B34" s="1" t="n">
        <v>45118</v>
      </c>
      <c r="C34" s="1" t="n">
        <v>46113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46113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58337-2025</t>
        </is>
      </c>
      <c r="B36" s="1" t="n">
        <v>45985.48895833334</v>
      </c>
      <c r="C36" s="1" t="n">
        <v>46113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46113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58335-2025</t>
        </is>
      </c>
      <c r="B38" s="1" t="n">
        <v>45985.48332175926</v>
      </c>
      <c r="C38" s="1" t="n">
        <v>46113</v>
      </c>
      <c r="D38" t="inlineStr">
        <is>
          <t>SKÅNE LÄN</t>
        </is>
      </c>
      <c r="E38" t="inlineStr">
        <is>
          <t>LUND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59206-2025</t>
        </is>
      </c>
      <c r="B39" s="1" t="n">
        <v>45988.60881944445</v>
      </c>
      <c r="C39" s="1" t="n">
        <v>46113</v>
      </c>
      <c r="D39" t="inlineStr">
        <is>
          <t>SKÅNE LÄN</t>
        </is>
      </c>
      <c r="E39" t="inlineStr">
        <is>
          <t>LUND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28885-2022</t>
        </is>
      </c>
      <c r="B40" s="1" t="n">
        <v>44749</v>
      </c>
      <c r="C40" s="1" t="n">
        <v>46113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34484-2025</t>
        </is>
      </c>
      <c r="B41" s="1" t="n">
        <v>45847.39517361111</v>
      </c>
      <c r="C41" s="1" t="n">
        <v>46113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46113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46113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46113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9889-2026</t>
        </is>
      </c>
      <c r="B45" s="1" t="n">
        <v>46073.368125</v>
      </c>
      <c r="C45" s="1" t="n">
        <v>46113</v>
      </c>
      <c r="D45" t="inlineStr">
        <is>
          <t>SKÅNE LÄN</t>
        </is>
      </c>
      <c r="E45" t="inlineStr">
        <is>
          <t>LUND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46113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46113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46113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46113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46113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2026-04-01T10:36:17Z</dcterms:created>
  <dcterms:modified xmlns:dcterms="http://purl.org/dc/terms/" xmlns:xsi="http://www.w3.org/2001/XMLSchema-instance" xsi:type="dcterms:W3CDTF">2026-04-01T10:36:17Z</dcterms:modified>
</cp:coreProperties>
</file>