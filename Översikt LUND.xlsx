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46167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46167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46167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46167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46167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46167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46167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35443-2021</t>
        </is>
      </c>
      <c r="B13" s="1" t="n">
        <v>44385</v>
      </c>
      <c r="C13" s="1" t="n">
        <v>46167</v>
      </c>
      <c r="D13" t="inlineStr">
        <is>
          <t>SKÅNE LÄN</t>
        </is>
      </c>
      <c r="E13" t="inlineStr">
        <is>
          <t>LUND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Klubbfibbla</t>
        </is>
      </c>
      <c r="S13">
        <f>HYPERLINK("https://klasma.github.io/Logging_1281/artfynd/A 35443-2021 artfynd.xlsx", "A 35443-2021")</f>
        <v/>
      </c>
      <c r="T13">
        <f>HYPERLINK("https://klasma.github.io/Logging_1281/kartor/A 35443-2021 karta.png", "A 35443-2021")</f>
        <v/>
      </c>
      <c r="V13">
        <f>HYPERLINK("https://klasma.github.io/Logging_1281/klagomål/A 35443-2021 FSC-klagomål.docx", "A 35443-2021")</f>
        <v/>
      </c>
      <c r="W13">
        <f>HYPERLINK("https://klasma.github.io/Logging_1281/klagomålsmail/A 35443-2021 FSC-klagomål mail.docx", "A 35443-2021")</f>
        <v/>
      </c>
      <c r="X13">
        <f>HYPERLINK("https://klasma.github.io/Logging_1281/tillsyn/A 35443-2021 tillsynsbegäran.docx", "A 35443-2021")</f>
        <v/>
      </c>
      <c r="Y13">
        <f>HYPERLINK("https://klasma.github.io/Logging_1281/tillsynsmail/A 35443-2021 tillsynsbegäran mail.docx", "A 35443-2021")</f>
        <v/>
      </c>
    </row>
    <row r="14" ht="15" customHeight="1">
      <c r="A14" t="inlineStr">
        <is>
          <t>A 31764-2023</t>
        </is>
      </c>
      <c r="B14" s="1" t="n">
        <v>45118</v>
      </c>
      <c r="C14" s="1" t="n">
        <v>46167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Skorpdyna</t>
        </is>
      </c>
      <c r="S14">
        <f>HYPERLINK("https://klasma.github.io/Logging_1281/artfynd/A 31764-2023 artfynd.xlsx", "A 31764-2023")</f>
        <v/>
      </c>
      <c r="T14">
        <f>HYPERLINK("https://klasma.github.io/Logging_1281/kartor/A 31764-2023 karta.png", "A 31764-2023")</f>
        <v/>
      </c>
      <c r="V14">
        <f>HYPERLINK("https://klasma.github.io/Logging_1281/klagomål/A 31764-2023 FSC-klagomål.docx", "A 31764-2023")</f>
        <v/>
      </c>
      <c r="W14">
        <f>HYPERLINK("https://klasma.github.io/Logging_1281/klagomålsmail/A 31764-2023 FSC-klagomål mail.docx", "A 31764-2023")</f>
        <v/>
      </c>
      <c r="X14">
        <f>HYPERLINK("https://klasma.github.io/Logging_1281/tillsyn/A 31764-2023 tillsynsbegäran.docx", "A 31764-2023")</f>
        <v/>
      </c>
      <c r="Y14">
        <f>HYPERLINK("https://klasma.github.io/Logging_1281/tillsynsmail/A 31764-2023 tillsynsbegäran mail.docx", "A 31764-2023")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46167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46167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46167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46167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46167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46167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46167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46167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46167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46167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46167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46167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46167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46167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46167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46167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46167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46167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58335-2025</t>
        </is>
      </c>
      <c r="B33" s="1" t="n">
        <v>45985.48332175926</v>
      </c>
      <c r="C33" s="1" t="n">
        <v>46167</v>
      </c>
      <c r="D33" t="inlineStr">
        <is>
          <t>SKÅNE LÄN</t>
        </is>
      </c>
      <c r="E33" t="inlineStr">
        <is>
          <t>LUND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46167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46167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46167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17519-2023</t>
        </is>
      </c>
      <c r="B37" s="1" t="n">
        <v>45036</v>
      </c>
      <c r="C37" s="1" t="n">
        <v>46167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46167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46167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59918-2022</t>
        </is>
      </c>
      <c r="B40" s="1" t="n">
        <v>44909</v>
      </c>
      <c r="C40" s="1" t="n">
        <v>46167</v>
      </c>
      <c r="D40" t="inlineStr">
        <is>
          <t>SKÅNE LÄN</t>
        </is>
      </c>
      <c r="E40" t="inlineStr">
        <is>
          <t>LUND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46167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20277-2026</t>
        </is>
      </c>
      <c r="B42" s="1" t="n">
        <v>46139.53665509259</v>
      </c>
      <c r="C42" s="1" t="n">
        <v>46167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20281-2026</t>
        </is>
      </c>
      <c r="B43" s="1" t="n">
        <v>46139.53974537037</v>
      </c>
      <c r="C43" s="1" t="n">
        <v>46167</v>
      </c>
      <c r="D43" t="inlineStr">
        <is>
          <t>SKÅNE LÄN</t>
        </is>
      </c>
      <c r="E43" t="inlineStr">
        <is>
          <t>LUND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46167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46167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46167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46167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46167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20057-2025</t>
        </is>
      </c>
      <c r="B49" s="1" t="n">
        <v>45772</v>
      </c>
      <c r="C49" s="1" t="n">
        <v>46167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29247-2025</t>
        </is>
      </c>
      <c r="B50" s="1" t="n">
        <v>45824</v>
      </c>
      <c r="C50" s="1" t="n">
        <v>46167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34484-2025</t>
        </is>
      </c>
      <c r="B51" s="1" t="n">
        <v>45847.39517361111</v>
      </c>
      <c r="C51" s="1" t="n">
        <v>46167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2026-05-25T10:57:16Z</dcterms:created>
  <dcterms:modified xmlns:dcterms="http://purl.org/dc/terms/" xmlns:xsi="http://www.w3.org/2001/XMLSchema-instance" xsi:type="dcterms:W3CDTF">2026-05-25T10:57:16Z</dcterms:modified>
</cp:coreProperties>
</file>