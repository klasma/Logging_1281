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45882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45882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4816-2025</t>
        </is>
      </c>
      <c r="B9" s="1" t="n">
        <v>45688.62052083333</v>
      </c>
      <c r="C9" s="1" t="n">
        <v>45882</v>
      </c>
      <c r="D9" t="inlineStr">
        <is>
          <t>SKÅNE LÄN</t>
        </is>
      </c>
      <c r="E9" t="inlineStr">
        <is>
          <t>LUND</t>
        </is>
      </c>
      <c r="G9" t="n">
        <v>7.7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HYPERLINK("https://klasma.github.io/Logging_1281/artfynd/A 4816-2025 artfynd.xlsx", "A 4816-2025")</f>
        <v/>
      </c>
      <c r="T9">
        <f>HYPERLINK("https://klasma.github.io/Logging_1281/kartor/A 4816-2025 karta.png", "A 4816-2025")</f>
        <v/>
      </c>
      <c r="V9">
        <f>HYPERLINK("https://klasma.github.io/Logging_1281/klagomål/A 4816-2025 FSC-klagomål.docx", "A 4816-2025")</f>
        <v/>
      </c>
      <c r="W9">
        <f>HYPERLINK("https://klasma.github.io/Logging_1281/klagomålsmail/A 4816-2025 FSC-klagomål mail.docx", "A 4816-2025")</f>
        <v/>
      </c>
      <c r="X9">
        <f>HYPERLINK("https://klasma.github.io/Logging_1281/tillsyn/A 4816-2025 tillsynsbegäran.docx", "A 4816-2025")</f>
        <v/>
      </c>
      <c r="Y9">
        <f>HYPERLINK("https://klasma.github.io/Logging_1281/tillsynsmail/A 4816-2025 tillsynsbegäran mail.docx", "A 4816-2025")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45882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45882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45882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45882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45882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45882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45882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45882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45882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4761-2025</t>
        </is>
      </c>
      <c r="B19" s="1" t="n">
        <v>45688.47814814815</v>
      </c>
      <c r="C19" s="1" t="n">
        <v>45882</v>
      </c>
      <c r="D19" t="inlineStr">
        <is>
          <t>SKÅNE LÄN</t>
        </is>
      </c>
      <c r="E19" t="inlineStr">
        <is>
          <t>LUND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45882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45882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45882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45882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45882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44646-2023</t>
        </is>
      </c>
      <c r="B25" s="1" t="n">
        <v>45189</v>
      </c>
      <c r="C25" s="1" t="n">
        <v>45882</v>
      </c>
      <c r="D25" t="inlineStr">
        <is>
          <t>SKÅNE LÄN</t>
        </is>
      </c>
      <c r="E25" t="inlineStr">
        <is>
          <t>LUND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45882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45882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4811-2025</t>
        </is>
      </c>
      <c r="B28" s="1" t="n">
        <v>45688.60861111111</v>
      </c>
      <c r="C28" s="1" t="n">
        <v>45882</v>
      </c>
      <c r="D28" t="inlineStr">
        <is>
          <t>SKÅNE LÄN</t>
        </is>
      </c>
      <c r="E28" t="inlineStr">
        <is>
          <t>LUND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45882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22088-2025</t>
        </is>
      </c>
      <c r="B30" s="1" t="n">
        <v>45785.44978009259</v>
      </c>
      <c r="C30" s="1" t="n">
        <v>45882</v>
      </c>
      <c r="D30" t="inlineStr">
        <is>
          <t>SKÅNE LÄN</t>
        </is>
      </c>
      <c r="E30" t="inlineStr">
        <is>
          <t>LUND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11732-2024</t>
        </is>
      </c>
      <c r="B31" s="1" t="n">
        <v>45373.69222222222</v>
      </c>
      <c r="C31" s="1" t="n">
        <v>45882</v>
      </c>
      <c r="D31" t="inlineStr">
        <is>
          <t>SKÅNE LÄN</t>
        </is>
      </c>
      <c r="E31" t="inlineStr">
        <is>
          <t>LUND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45882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45882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4803-2025</t>
        </is>
      </c>
      <c r="B34" s="1" t="n">
        <v>45688.59399305555</v>
      </c>
      <c r="C34" s="1" t="n">
        <v>45882</v>
      </c>
      <c r="D34" t="inlineStr">
        <is>
          <t>SKÅNE LÄN</t>
        </is>
      </c>
      <c r="E34" t="inlineStr">
        <is>
          <t>LUND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45882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28885-2022</t>
        </is>
      </c>
      <c r="B36" s="1" t="n">
        <v>44749</v>
      </c>
      <c r="C36" s="1" t="n">
        <v>45882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45882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45882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32972-2024</t>
        </is>
      </c>
      <c r="B39" s="1" t="n">
        <v>45517.42064814815</v>
      </c>
      <c r="C39" s="1" t="n">
        <v>45882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45882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45882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45882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31773-2023</t>
        </is>
      </c>
      <c r="B43" s="1" t="n">
        <v>45118</v>
      </c>
      <c r="C43" s="1" t="n">
        <v>45882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4755-2025</t>
        </is>
      </c>
      <c r="B44" s="1" t="n">
        <v>45688.46853009259</v>
      </c>
      <c r="C44" s="1" t="n">
        <v>45882</v>
      </c>
      <c r="D44" t="inlineStr">
        <is>
          <t>SKÅNE LÄN</t>
        </is>
      </c>
      <c r="E44" t="inlineStr">
        <is>
          <t>LUND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45882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33985-2021</t>
        </is>
      </c>
      <c r="B46" s="1" t="n">
        <v>44378</v>
      </c>
      <c r="C46" s="1" t="n">
        <v>45882</v>
      </c>
      <c r="D46" t="inlineStr">
        <is>
          <t>SKÅNE LÄN</t>
        </is>
      </c>
      <c r="E46" t="inlineStr">
        <is>
          <t>LUND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45725-2022</t>
        </is>
      </c>
      <c r="B47" s="1" t="n">
        <v>44846</v>
      </c>
      <c r="C47" s="1" t="n">
        <v>45882</v>
      </c>
      <c r="D47" t="inlineStr">
        <is>
          <t>SKÅNE LÄN</t>
        </is>
      </c>
      <c r="E47" t="inlineStr">
        <is>
          <t>LUND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4788-2025</t>
        </is>
      </c>
      <c r="B48" s="1" t="n">
        <v>45688.569375</v>
      </c>
      <c r="C48" s="1" t="n">
        <v>45882</v>
      </c>
      <c r="D48" t="inlineStr">
        <is>
          <t>SKÅNE LÄN</t>
        </is>
      </c>
      <c r="E48" t="inlineStr">
        <is>
          <t>LUND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45882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45882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