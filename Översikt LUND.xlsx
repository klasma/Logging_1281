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45357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8855-2019</t>
        </is>
      </c>
      <c r="B3" s="1" t="n">
        <v>43503</v>
      </c>
      <c r="C3" s="1" t="n">
        <v>45357</v>
      </c>
      <c r="D3" t="inlineStr">
        <is>
          <t>SKÅNE LÄN</t>
        </is>
      </c>
      <c r="E3" t="inlineStr">
        <is>
          <t>LUND</t>
        </is>
      </c>
      <c r="G3" t="n">
        <v>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Desmeknopp
Lövgroda</t>
        </is>
      </c>
      <c r="S3">
        <f>HYPERLINK("https://klasma.github.io/Logging_1281/artfynd/A 8855-2019 artfynd.xlsx", "A 8855-2019")</f>
        <v/>
      </c>
      <c r="T3">
        <f>HYPERLINK("https://klasma.github.io/Logging_1281/kartor/A 8855-2019 karta.png", "A 8855-2019")</f>
        <v/>
      </c>
      <c r="V3">
        <f>HYPERLINK("https://klasma.github.io/Logging_1281/klagomål/A 8855-2019 FSC-klagomål.docx", "A 8855-2019")</f>
        <v/>
      </c>
      <c r="W3">
        <f>HYPERLINK("https://klasma.github.io/Logging_1281/klagomålsmail/A 8855-2019 FSC-klagomål mail.docx", "A 8855-2019")</f>
        <v/>
      </c>
      <c r="X3">
        <f>HYPERLINK("https://klasma.github.io/Logging_1281/tillsyn/A 8855-2019 tillsynsbegäran.docx", "A 8855-2019")</f>
        <v/>
      </c>
      <c r="Y3">
        <f>HYPERLINK("https://klasma.github.io/Logging_1281/tillsynsmail/A 8855-2019 tillsynsbegäran mail.docx", "A 8855-2019")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45357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45357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45357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15860-2019</t>
        </is>
      </c>
      <c r="B7" s="1" t="n">
        <v>43543</v>
      </c>
      <c r="C7" s="1" t="n">
        <v>45357</v>
      </c>
      <c r="D7" t="inlineStr">
        <is>
          <t>SKÅNE LÄN</t>
        </is>
      </c>
      <c r="E7" t="inlineStr">
        <is>
          <t>LUND</t>
        </is>
      </c>
      <c r="G7" t="n">
        <v>26.6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Skogsbräsma</t>
        </is>
      </c>
      <c r="S7">
        <f>HYPERLINK("https://klasma.github.io/Logging_1281/artfynd/A 15860-2019 artfynd.xlsx", "A 15860-2019")</f>
        <v/>
      </c>
      <c r="T7">
        <f>HYPERLINK("https://klasma.github.io/Logging_1281/kartor/A 15860-2019 karta.png", "A 15860-2019")</f>
        <v/>
      </c>
      <c r="V7">
        <f>HYPERLINK("https://klasma.github.io/Logging_1281/klagomål/A 15860-2019 FSC-klagomål.docx", "A 15860-2019")</f>
        <v/>
      </c>
      <c r="W7">
        <f>HYPERLINK("https://klasma.github.io/Logging_1281/klagomålsmail/A 15860-2019 FSC-klagomål mail.docx", "A 15860-2019")</f>
        <v/>
      </c>
      <c r="X7">
        <f>HYPERLINK("https://klasma.github.io/Logging_1281/tillsyn/A 15860-2019 tillsynsbegäran.docx", "A 15860-2019")</f>
        <v/>
      </c>
      <c r="Y7">
        <f>HYPERLINK("https://klasma.github.io/Logging_1281/tillsynsmail/A 15860-2019 tillsynsbegäran mail.docx", "A 15860-2019")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45357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45357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45357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39774-2018</t>
        </is>
      </c>
      <c r="B11" s="1" t="n">
        <v>43342</v>
      </c>
      <c r="C11" s="1" t="n">
        <v>45357</v>
      </c>
      <c r="D11" t="inlineStr">
        <is>
          <t>SKÅNE LÄN</t>
        </is>
      </c>
      <c r="E11" t="inlineStr">
        <is>
          <t>LUND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63093-2018</t>
        </is>
      </c>
      <c r="B12" s="1" t="n">
        <v>43418</v>
      </c>
      <c r="C12" s="1" t="n">
        <v>45357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67563-2018</t>
        </is>
      </c>
      <c r="B13" s="1" t="n">
        <v>43439</v>
      </c>
      <c r="C13" s="1" t="n">
        <v>45357</v>
      </c>
      <c r="D13" t="inlineStr">
        <is>
          <t>SKÅNE LÄN</t>
        </is>
      </c>
      <c r="E13" t="inlineStr">
        <is>
          <t>LUND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67564-2018</t>
        </is>
      </c>
      <c r="B14" s="1" t="n">
        <v>43439</v>
      </c>
      <c r="C14" s="1" t="n">
        <v>45357</v>
      </c>
      <c r="D14" t="inlineStr">
        <is>
          <t>SKÅNE LÄN</t>
        </is>
      </c>
      <c r="E14" t="inlineStr">
        <is>
          <t>LUND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68118-2018</t>
        </is>
      </c>
      <c r="B15" s="1" t="n">
        <v>43441</v>
      </c>
      <c r="C15" s="1" t="n">
        <v>45357</v>
      </c>
      <c r="D15" t="inlineStr">
        <is>
          <t>SKÅNE LÄN</t>
        </is>
      </c>
      <c r="E15" t="inlineStr">
        <is>
          <t>LUND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15956-2019</t>
        </is>
      </c>
      <c r="B16" s="1" t="n">
        <v>43544</v>
      </c>
      <c r="C16" s="1" t="n">
        <v>45357</v>
      </c>
      <c r="D16" t="inlineStr">
        <is>
          <t>SKÅNE LÄN</t>
        </is>
      </c>
      <c r="E16" t="inlineStr">
        <is>
          <t>LUND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15951-2019</t>
        </is>
      </c>
      <c r="B17" s="1" t="n">
        <v>43544</v>
      </c>
      <c r="C17" s="1" t="n">
        <v>45357</v>
      </c>
      <c r="D17" t="inlineStr">
        <is>
          <t>SKÅNE LÄN</t>
        </is>
      </c>
      <c r="E17" t="inlineStr">
        <is>
          <t>LUND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25866-2019</t>
        </is>
      </c>
      <c r="B18" s="1" t="n">
        <v>43605</v>
      </c>
      <c r="C18" s="1" t="n">
        <v>45357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45357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45357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45357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45357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45357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45357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45357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45357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45357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45357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45357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45357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45357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45357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45357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45357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45357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45357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45357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45357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45357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45357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45357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45357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45357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45357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45357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45357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45357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45357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45357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31764-2023</t>
        </is>
      </c>
      <c r="B50" s="1" t="n">
        <v>45118</v>
      </c>
      <c r="C50" s="1" t="n">
        <v>45357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31773-2023</t>
        </is>
      </c>
      <c r="B51" s="1" t="n">
        <v>45118</v>
      </c>
      <c r="C51" s="1" t="n">
        <v>45357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44646-2023</t>
        </is>
      </c>
      <c r="B52" s="1" t="n">
        <v>45189</v>
      </c>
      <c r="C52" s="1" t="n">
        <v>45357</v>
      </c>
      <c r="D52" t="inlineStr">
        <is>
          <t>SKÅNE LÄN</t>
        </is>
      </c>
      <c r="E52" t="inlineStr">
        <is>
          <t>LUND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49297-2023</t>
        </is>
      </c>
      <c r="B53" s="1" t="n">
        <v>45210</v>
      </c>
      <c r="C53" s="1" t="n">
        <v>45357</v>
      </c>
      <c r="D53" t="inlineStr">
        <is>
          <t>SKÅNE LÄN</t>
        </is>
      </c>
      <c r="E53" t="inlineStr">
        <is>
          <t>LUND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55154-2023</t>
        </is>
      </c>
      <c r="B54" s="1" t="n">
        <v>45237</v>
      </c>
      <c r="C54" s="1" t="n">
        <v>45357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55148-2023</t>
        </is>
      </c>
      <c r="B55" s="1" t="n">
        <v>45237</v>
      </c>
      <c r="C55" s="1" t="n">
        <v>45357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55147-2023</t>
        </is>
      </c>
      <c r="B56" s="1" t="n">
        <v>45237</v>
      </c>
      <c r="C56" s="1" t="n">
        <v>45357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55152-2023</t>
        </is>
      </c>
      <c r="B57" s="1" t="n">
        <v>45237</v>
      </c>
      <c r="C57" s="1" t="n">
        <v>45357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55158-2023</t>
        </is>
      </c>
      <c r="B58" s="1" t="n">
        <v>45237</v>
      </c>
      <c r="C58" s="1" t="n">
        <v>45357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55145-2023</t>
        </is>
      </c>
      <c r="B59" s="1" t="n">
        <v>45237</v>
      </c>
      <c r="C59" s="1" t="n">
        <v>45357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45357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678-2024</t>
        </is>
      </c>
      <c r="B61" s="1" t="n">
        <v>45300</v>
      </c>
      <c r="C61" s="1" t="n">
        <v>45357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2024-03-06T12:55:28Z</dcterms:created>
  <dcterms:modified xmlns:dcterms="http://purl.org/dc/terms/" xmlns:xsi="http://www.w3.org/2001/XMLSchema-instance" xsi:type="dcterms:W3CDTF">2024-03-06T12:55:28Z</dcterms:modified>
</cp:coreProperties>
</file>