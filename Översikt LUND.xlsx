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46307</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46307</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46307</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46307</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46307</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46307</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46307</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46307</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46307</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46307</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46307</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11732-2024</t>
        </is>
      </c>
      <c r="B14" t="inlineStr">
        <is>
          <t>avverkningsanmälan</t>
        </is>
      </c>
      <c r="C14" t="inlineStr">
        <is>
          <t>Föryngringsavverkning</t>
        </is>
      </c>
      <c r="D14" s="1" t="n">
        <v>45373</v>
      </c>
      <c r="E14" s="1" t="n">
        <v>46307</v>
      </c>
      <c r="F14" t="inlineStr">
        <is>
          <t>SKÅNE LÄN</t>
        </is>
      </c>
      <c r="G14" t="inlineStr">
        <is>
          <t>LUND</t>
        </is>
      </c>
      <c r="I14" t="n">
        <v>2.8</v>
      </c>
      <c r="J14" t="n">
        <v>1</v>
      </c>
      <c r="K14" t="n">
        <v>0</v>
      </c>
      <c r="L14" t="n">
        <v>0</v>
      </c>
      <c r="M14" t="n">
        <v>0</v>
      </c>
      <c r="N14" t="n">
        <v>1</v>
      </c>
      <c r="O14" t="n">
        <v>0</v>
      </c>
      <c r="P14" t="n">
        <v>0</v>
      </c>
      <c r="Q14" t="n">
        <v>1</v>
      </c>
      <c r="R14" t="n">
        <v>1</v>
      </c>
      <c r="S14" t="n">
        <v>1</v>
      </c>
      <c r="T14" t="n">
        <v>2</v>
      </c>
      <c r="U14" t="n">
        <v>2</v>
      </c>
      <c r="V14" s="2" t="inlineStr">
        <is>
          <t>Dvärgjohannesört</t>
        </is>
      </c>
      <c r="W14">
        <f>HYPERLINK("https://klasma.github.io/Logging_1281/artfynd/A 11732-2024 artfynd.xlsx", "A 11732-2024")</f>
        <v/>
      </c>
      <c r="X14">
        <f>HYPERLINK("https://klasma.github.io/Logging_1281/kartor/A 11732-2024 karta.png", "A 11732-2024")</f>
        <v/>
      </c>
      <c r="Y14">
        <f>HYPERLINK("https://klasma.github.io/Logging_1281/kartor_geotiff/A 11732-2024 georefererad karta.tif", "A 11732-2024")</f>
        <v/>
      </c>
      <c r="AA14">
        <f>HYPERLINK("https://klasma.github.io/Logging_1281/klagomål/A 11732-2024 FSC-klagomål.docx", "A 11732-2024")</f>
        <v/>
      </c>
      <c r="AB14">
        <f>HYPERLINK("https://klasma.github.io/Logging_1281/klagomålsmail/A 11732-2024 FSC-klagomål mail.docx", "A 11732-2024")</f>
        <v/>
      </c>
      <c r="AC14">
        <f>HYPERLINK("https://klasma.github.io/Logging_1281/tillsyn/A 11732-2024 tillsynsbegäran.docx", "A 11732-2024")</f>
        <v/>
      </c>
      <c r="AD14">
        <f>HYPERLINK("https://klasma.github.io/Logging_1281/tillsynsmail/A 11732-2024 tillsynsbegäran mail.docx", "A 11732-2024")</f>
        <v/>
      </c>
    </row>
    <row r="15" ht="15" customHeight="1">
      <c r="A15" t="inlineStr">
        <is>
          <t>A 39260-2025</t>
        </is>
      </c>
      <c r="B15" t="inlineStr">
        <is>
          <t>avverkningsanmälan</t>
        </is>
      </c>
      <c r="C15" t="inlineStr">
        <is>
          <t>Föryngringsavverkning</t>
        </is>
      </c>
      <c r="D15" s="1" t="n">
        <v>45889</v>
      </c>
      <c r="E15" s="1" t="n">
        <v>46307</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46307</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46307</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46307</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55158-2023</t>
        </is>
      </c>
      <c r="B19" t="inlineStr">
        <is>
          <t>avverkningsanmälan</t>
        </is>
      </c>
      <c r="C19" t="inlineStr">
        <is>
          <t>Föryngringsavverkning</t>
        </is>
      </c>
      <c r="D19" s="1" t="n">
        <v>45237</v>
      </c>
      <c r="E19" s="1" t="n">
        <v>46307</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46307</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59227-2025</t>
        </is>
      </c>
      <c r="B21" t="inlineStr">
        <is>
          <t>avverkningsanmälan</t>
        </is>
      </c>
      <c r="C21" t="inlineStr">
        <is>
          <t>Föryngringsavverkning</t>
        </is>
      </c>
      <c r="D21" s="1" t="n">
        <v>45988</v>
      </c>
      <c r="E21" s="1" t="n">
        <v>46307</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46307</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46307</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46307</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17519-2023</t>
        </is>
      </c>
      <c r="B25" t="inlineStr">
        <is>
          <t>avverkningsanmälan</t>
        </is>
      </c>
      <c r="C25" t="inlineStr">
        <is>
          <t>Avverkning för annat ändamål</t>
        </is>
      </c>
      <c r="D25" s="1" t="n">
        <v>45036</v>
      </c>
      <c r="E25" s="1" t="n">
        <v>46307</v>
      </c>
      <c r="F25" t="inlineStr">
        <is>
          <t>SKÅNE LÄN</t>
        </is>
      </c>
      <c r="G25" t="inlineStr">
        <is>
          <t>LUND</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21767-2023</t>
        </is>
      </c>
      <c r="B26" t="inlineStr">
        <is>
          <t>avverkningsanmälan</t>
        </is>
      </c>
      <c r="C26" t="inlineStr">
        <is>
          <t>Föryngringsavverkning</t>
        </is>
      </c>
      <c r="D26" s="1" t="n">
        <v>45065</v>
      </c>
      <c r="E26" s="1" t="n">
        <v>46307</v>
      </c>
      <c r="F26" t="inlineStr">
        <is>
          <t>SKÅNE LÄN</t>
        </is>
      </c>
      <c r="G26" t="inlineStr">
        <is>
          <t>LUND</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46307</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31773-2023</t>
        </is>
      </c>
      <c r="B28" t="inlineStr">
        <is>
          <t>avverkningsanmälan</t>
        </is>
      </c>
      <c r="C28" t="inlineStr">
        <is>
          <t>Föryngringsavverkning</t>
        </is>
      </c>
      <c r="D28" s="1" t="n">
        <v>45118</v>
      </c>
      <c r="E28" s="1" t="n">
        <v>46307</v>
      </c>
      <c r="F28" t="inlineStr">
        <is>
          <t>SKÅNE LÄN</t>
        </is>
      </c>
      <c r="G28" t="inlineStr">
        <is>
          <t>LUND</t>
        </is>
      </c>
      <c r="H28" t="inlineStr">
        <is>
          <t>Kommuner</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46307</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13754-2022</t>
        </is>
      </c>
      <c r="B30" t="inlineStr">
        <is>
          <t>avverkningsanmälan</t>
        </is>
      </c>
      <c r="C30" t="inlineStr">
        <is>
          <t>Föryngringsavverkning</t>
        </is>
      </c>
      <c r="D30" s="1" t="n">
        <v>44649</v>
      </c>
      <c r="E30" s="1" t="n">
        <v>46307</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46307</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28885-2022</t>
        </is>
      </c>
      <c r="B32" t="inlineStr">
        <is>
          <t>avverkningsanmälan</t>
        </is>
      </c>
      <c r="C32" t="inlineStr">
        <is>
          <t>Föryngringsavverkning</t>
        </is>
      </c>
      <c r="D32" s="1" t="n">
        <v>44749</v>
      </c>
      <c r="E32" s="1" t="n">
        <v>46307</v>
      </c>
      <c r="F32" t="inlineStr">
        <is>
          <t>SKÅNE LÄN</t>
        </is>
      </c>
      <c r="G32" t="inlineStr">
        <is>
          <t>LUND</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46307</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58337-2025</t>
        </is>
      </c>
      <c r="B34" t="inlineStr">
        <is>
          <t>avverkningsanmälan</t>
        </is>
      </c>
      <c r="C34" t="inlineStr">
        <is>
          <t>Föryngringsavverkning</t>
        </is>
      </c>
      <c r="D34" s="1" t="n">
        <v>45985</v>
      </c>
      <c r="E34" s="1" t="n">
        <v>46307</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58335-2025</t>
        </is>
      </c>
      <c r="B35" t="inlineStr">
        <is>
          <t>avverkningsanmälan</t>
        </is>
      </c>
      <c r="C35" t="inlineStr">
        <is>
          <t>Föryngringsavverkning</t>
        </is>
      </c>
      <c r="D35" s="1" t="n">
        <v>45985</v>
      </c>
      <c r="E35" s="1" t="n">
        <v>46307</v>
      </c>
      <c r="F35" t="inlineStr">
        <is>
          <t>SKÅNE LÄN</t>
        </is>
      </c>
      <c r="G35" t="inlineStr">
        <is>
          <t>LUND</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46307</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46307</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46307</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20277-2026</t>
        </is>
      </c>
      <c r="B39" t="inlineStr">
        <is>
          <t>avverkningsanmälan</t>
        </is>
      </c>
      <c r="C39" t="inlineStr">
        <is>
          <t>Föryngringsavverkning</t>
        </is>
      </c>
      <c r="D39" s="1" t="n">
        <v>46139</v>
      </c>
      <c r="E39" s="1" t="n">
        <v>46307</v>
      </c>
      <c r="F39" t="inlineStr">
        <is>
          <t>SKÅNE LÄN</t>
        </is>
      </c>
      <c r="G39" t="inlineStr">
        <is>
          <t>LUND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9889-2026</t>
        </is>
      </c>
      <c r="B40" t="inlineStr">
        <is>
          <t>avverkningsanmälan</t>
        </is>
      </c>
      <c r="C40" t="inlineStr">
        <is>
          <t>Föryngringsavverkning</t>
        </is>
      </c>
      <c r="D40" s="1" t="n">
        <v>46073</v>
      </c>
      <c r="E40" s="1" t="n">
        <v>46307</v>
      </c>
      <c r="F40" t="inlineStr">
        <is>
          <t>SKÅNE LÄN</t>
        </is>
      </c>
      <c r="G40" t="inlineStr">
        <is>
          <t>LUND</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46307</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46307</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46307</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46307</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2026-10-12T02:02:35Z</dcterms:created>
  <dcterms:modified xmlns:dcterms="http://purl.org/dc/terms/" xmlns:xsi="http://www.w3.org/2001/XMLSchema-instance" xsi:type="dcterms:W3CDTF">2026-10-12T02:02:35Z</dcterms:modified>
</cp:coreProperties>
</file>