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46314</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46314</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46314</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46314</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46314</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46314</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46314</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46314</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46314</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46314</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46314</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46314</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46314</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46314</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29075-2023</t>
        </is>
      </c>
      <c r="B17" t="inlineStr">
        <is>
          <t>avverkningsanmälan</t>
        </is>
      </c>
      <c r="C17" t="inlineStr">
        <is>
          <t>Föryngringsavverkning</t>
        </is>
      </c>
      <c r="D17" s="1" t="n">
        <v>45104</v>
      </c>
      <c r="E17" s="1" t="n">
        <v>46314</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27377-2026</t>
        </is>
      </c>
      <c r="B18" t="inlineStr">
        <is>
          <t>avverkningsanmälan</t>
        </is>
      </c>
      <c r="C18" t="inlineStr">
        <is>
          <t>Föryngringsavverkning</t>
        </is>
      </c>
      <c r="D18" s="1" t="n">
        <v>46189</v>
      </c>
      <c r="E18" s="1" t="n">
        <v>46314</v>
      </c>
      <c r="F18" t="inlineStr">
        <is>
          <t>SKÅNE LÄN</t>
        </is>
      </c>
      <c r="G18" t="inlineStr">
        <is>
          <t>LUND</t>
        </is>
      </c>
      <c r="I18" t="n">
        <v>0.7</v>
      </c>
      <c r="J18" t="n">
        <v>1</v>
      </c>
      <c r="K18" t="n">
        <v>0</v>
      </c>
      <c r="L18" t="n">
        <v>0</v>
      </c>
      <c r="M18" t="n">
        <v>0</v>
      </c>
      <c r="N18" t="n">
        <v>0</v>
      </c>
      <c r="O18" t="n">
        <v>0</v>
      </c>
      <c r="P18" t="n">
        <v>0</v>
      </c>
      <c r="Q18" t="n">
        <v>0</v>
      </c>
      <c r="R18" t="n">
        <v>0</v>
      </c>
      <c r="S18" t="n">
        <v>1</v>
      </c>
      <c r="T18" t="n">
        <v>1</v>
      </c>
      <c r="U18" t="n">
        <v>0</v>
      </c>
      <c r="V18" s="2" t="inlineStr">
        <is>
          <t>Ätlig groda</t>
        </is>
      </c>
      <c r="W18">
        <f>HYPERLINK("https://klasma.github.io/Logging_1281/artfynd/A 27377-2026 artfynd.xlsx", "A 27377-2026")</f>
        <v/>
      </c>
      <c r="X18">
        <f>HYPERLINK("https://klasma.github.io/Logging_1281/kartor/A 27377-2026 karta.png", "A 27377-2026")</f>
        <v/>
      </c>
      <c r="Y18">
        <f>HYPERLINK("https://klasma.github.io/Logging_1281/kartor_geotiff/A 27377-2026 georefererad karta.tif", "A 27377-2026")</f>
        <v/>
      </c>
      <c r="AA18">
        <f>HYPERLINK("https://klasma.github.io/Logging_1281/klagomål/A 27377-2026 FSC-klagomål.docx", "A 27377-2026")</f>
        <v/>
      </c>
      <c r="AB18">
        <f>HYPERLINK("https://klasma.github.io/Logging_1281/klagomålsmail/A 27377-2026 FSC-klagomål mail.docx", "A 27377-2026")</f>
        <v/>
      </c>
      <c r="AC18">
        <f>HYPERLINK("https://klasma.github.io/Logging_1281/tillsyn/A 27377-2026 tillsynsbegäran.docx", "A 27377-2026")</f>
        <v/>
      </c>
      <c r="AD18">
        <f>HYPERLINK("https://klasma.github.io/Logging_1281/tillsynsmail/A 27377-2026 tillsynsbegäran mail.docx", "A 27377-2026")</f>
        <v/>
      </c>
    </row>
    <row r="19" ht="15" customHeight="1">
      <c r="A19" t="inlineStr">
        <is>
          <t>A 55145-2023</t>
        </is>
      </c>
      <c r="B19" t="inlineStr">
        <is>
          <t>avverkningsanmälan</t>
        </is>
      </c>
      <c r="C19" t="inlineStr">
        <is>
          <t>Avverkning för att bevara och utveckla /försöksver</t>
        </is>
      </c>
      <c r="D19" s="1" t="n">
        <v>45237</v>
      </c>
      <c r="E19" s="1" t="n">
        <v>46314</v>
      </c>
      <c r="F19" t="inlineStr">
        <is>
          <t>SKÅNE LÄN</t>
        </is>
      </c>
      <c r="G19" t="inlineStr">
        <is>
          <t>LUND</t>
        </is>
      </c>
      <c r="H19" t="inlineStr">
        <is>
          <t>Kommuner</t>
        </is>
      </c>
      <c r="I19" t="n">
        <v>4.5</v>
      </c>
      <c r="J19" t="n">
        <v>0</v>
      </c>
      <c r="K19" t="n">
        <v>1</v>
      </c>
      <c r="L19" t="n">
        <v>0</v>
      </c>
      <c r="M19" t="n">
        <v>0</v>
      </c>
      <c r="N19" t="n">
        <v>0</v>
      </c>
      <c r="O19" t="n">
        <v>0</v>
      </c>
      <c r="P19" t="n">
        <v>0</v>
      </c>
      <c r="Q19" t="n">
        <v>0</v>
      </c>
      <c r="R19" t="n">
        <v>0</v>
      </c>
      <c r="S19" t="n">
        <v>1</v>
      </c>
      <c r="T19" t="n">
        <v>1</v>
      </c>
      <c r="U19" t="n">
        <v>1</v>
      </c>
      <c r="V19" s="2" t="inlineStr">
        <is>
          <t>Grovticka</t>
        </is>
      </c>
      <c r="W19">
        <f>HYPERLINK("https://klasma.github.io/Logging_1281/artfynd/A 55145-2023 artfynd.xlsx", "A 55145-2023")</f>
        <v/>
      </c>
      <c r="X19">
        <f>HYPERLINK("https://klasma.github.io/Logging_1281/kartor/A 55145-2023 karta.png", "A 55145-2023")</f>
        <v/>
      </c>
      <c r="Y19">
        <f>HYPERLINK("https://klasma.github.io/Logging_1281/kartor_geotiff/A 55145-2023 georefererad karta.tif", "A 55145-2023")</f>
        <v/>
      </c>
      <c r="AA19">
        <f>HYPERLINK("https://klasma.github.io/Logging_1281/klagomål/A 55145-2023 FSC-klagomål.docx", "A 55145-2023")</f>
        <v/>
      </c>
      <c r="AB19">
        <f>HYPERLINK("https://klasma.github.io/Logging_1281/klagomålsmail/A 55145-2023 FSC-klagomål mail.docx", "A 55145-2023")</f>
        <v/>
      </c>
      <c r="AC19">
        <f>HYPERLINK("https://klasma.github.io/Logging_1281/tillsyn/A 55145-2023 tillsynsbegäran.docx", "A 55145-2023")</f>
        <v/>
      </c>
      <c r="AD19">
        <f>HYPERLINK("https://klasma.github.io/Logging_1281/tillsynsmail/A 55145-2023 tillsynsbegäran mail.docx", "A 55145-2023")</f>
        <v/>
      </c>
    </row>
    <row r="20" ht="15" customHeight="1">
      <c r="A20" t="inlineStr">
        <is>
          <t>A 4746-2025</t>
        </is>
      </c>
      <c r="B20" t="inlineStr">
        <is>
          <t>avverkningsanmälan</t>
        </is>
      </c>
      <c r="C20" t="inlineStr">
        <is>
          <t>Föryngringsavverkning</t>
        </is>
      </c>
      <c r="D20" s="1" t="n">
        <v>45688</v>
      </c>
      <c r="E20" s="1" t="n">
        <v>46314</v>
      </c>
      <c r="F20" t="inlineStr">
        <is>
          <t>SKÅNE LÄN</t>
        </is>
      </c>
      <c r="G20" t="inlineStr">
        <is>
          <t>LUND</t>
        </is>
      </c>
      <c r="I20" t="n">
        <v>1.1</v>
      </c>
      <c r="J20" t="n">
        <v>1</v>
      </c>
      <c r="K20" t="n">
        <v>0</v>
      </c>
      <c r="L20" t="n">
        <v>0</v>
      </c>
      <c r="M20" t="n">
        <v>0</v>
      </c>
      <c r="N20" t="n">
        <v>0</v>
      </c>
      <c r="O20" t="n">
        <v>0</v>
      </c>
      <c r="P20" t="n">
        <v>0</v>
      </c>
      <c r="Q20" t="n">
        <v>0</v>
      </c>
      <c r="R20" t="n">
        <v>0</v>
      </c>
      <c r="S20" t="n">
        <v>1</v>
      </c>
      <c r="T20" t="n">
        <v>1</v>
      </c>
      <c r="U20" t="n">
        <v>0</v>
      </c>
      <c r="V20" s="2" t="inlineStr">
        <is>
          <t>Svartvit flugsnappare</t>
        </is>
      </c>
      <c r="W20">
        <f>HYPERLINK("https://klasma.github.io/Logging_1281/artfynd/A 4746-2025 artfynd.xlsx", "A 4746-2025")</f>
        <v/>
      </c>
      <c r="X20">
        <f>HYPERLINK("https://klasma.github.io/Logging_1281/kartor/A 4746-2025 karta.png", "A 4746-2025")</f>
        <v/>
      </c>
      <c r="Y20">
        <f>HYPERLINK("https://klasma.github.io/Logging_1281/kartor_geotiff/A 4746-2025 georefererad karta.tif", "A 4746-2025")</f>
        <v/>
      </c>
      <c r="AA20">
        <f>HYPERLINK("https://klasma.github.io/Logging_1281/klagomål/A 4746-2025 FSC-klagomål.docx", "A 4746-2025")</f>
        <v/>
      </c>
      <c r="AB20">
        <f>HYPERLINK("https://klasma.github.io/Logging_1281/klagomålsmail/A 4746-2025 FSC-klagomål mail.docx", "A 4746-2025")</f>
        <v/>
      </c>
      <c r="AC20">
        <f>HYPERLINK("https://klasma.github.io/Logging_1281/tillsyn/A 4746-2025 tillsynsbegäran.docx", "A 4746-2025")</f>
        <v/>
      </c>
      <c r="AD20">
        <f>HYPERLINK("https://klasma.github.io/Logging_1281/tillsynsmail/A 4746-2025 tillsynsbegäran mail.docx", "A 4746-2025")</f>
        <v/>
      </c>
    </row>
    <row r="21" ht="15" customHeight="1">
      <c r="A21" t="inlineStr">
        <is>
          <t>S 2231-2022</t>
        </is>
      </c>
      <c r="B21" t="inlineStr">
        <is>
          <t>samrådsanmälan</t>
        </is>
      </c>
      <c r="C21" t="inlineStr">
        <is>
          <t>Åtgärd i nyckelbiotop</t>
        </is>
      </c>
      <c r="D21" s="1" t="n">
        <v>44679</v>
      </c>
      <c r="E21" s="1" t="n">
        <v>46314</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46314</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5059-2025</t>
        </is>
      </c>
      <c r="B23" t="inlineStr">
        <is>
          <t>avverkningsanmälan</t>
        </is>
      </c>
      <c r="C23" t="inlineStr">
        <is>
          <t>Föryngringsavverkning</t>
        </is>
      </c>
      <c r="D23" s="1" t="n">
        <v>45691</v>
      </c>
      <c r="E23" s="1" t="n">
        <v>46314</v>
      </c>
      <c r="F23" t="inlineStr">
        <is>
          <t>SKÅNE LÄN</t>
        </is>
      </c>
      <c r="G23" t="inlineStr">
        <is>
          <t>LUND</t>
        </is>
      </c>
      <c r="I23" t="n">
        <v>2.3</v>
      </c>
      <c r="J23" t="n">
        <v>0</v>
      </c>
      <c r="K23" t="n">
        <v>0</v>
      </c>
      <c r="L23" t="n">
        <v>0</v>
      </c>
      <c r="M23" t="n">
        <v>0</v>
      </c>
      <c r="N23" t="n">
        <v>0</v>
      </c>
      <c r="O23" t="n">
        <v>0</v>
      </c>
      <c r="P23" t="n">
        <v>0</v>
      </c>
      <c r="Q23" t="n">
        <v>0</v>
      </c>
      <c r="R23" t="n">
        <v>0</v>
      </c>
      <c r="S23" t="n">
        <v>0</v>
      </c>
      <c r="T23" t="n">
        <v>0</v>
      </c>
      <c r="U23" t="n">
        <v>0</v>
      </c>
      <c r="V23" s="2" t="inlineStr"/>
    </row>
    <row r="24" ht="15" customHeight="1">
      <c r="A24" t="inlineStr">
        <is>
          <t>A 28885-2022</t>
        </is>
      </c>
      <c r="B24" t="inlineStr">
        <is>
          <t>avverkningsanmälan</t>
        </is>
      </c>
      <c r="C24" t="inlineStr">
        <is>
          <t>Föryngringsavverkning</t>
        </is>
      </c>
      <c r="D24" s="1" t="n">
        <v>44749</v>
      </c>
      <c r="E24" s="1" t="n">
        <v>46314</v>
      </c>
      <c r="F24" t="inlineStr">
        <is>
          <t>SKÅNE LÄN</t>
        </is>
      </c>
      <c r="G24" t="inlineStr">
        <is>
          <t>LUND</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46314</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20277-2026</t>
        </is>
      </c>
      <c r="B26" t="inlineStr">
        <is>
          <t>avverkningsanmälan</t>
        </is>
      </c>
      <c r="C26" t="inlineStr">
        <is>
          <t>Föryngringsavverkning</t>
        </is>
      </c>
      <c r="D26" s="1" t="n">
        <v>46139</v>
      </c>
      <c r="E26" s="1" t="n">
        <v>46314</v>
      </c>
      <c r="F26" t="inlineStr">
        <is>
          <t>SKÅNE LÄN</t>
        </is>
      </c>
      <c r="G26" t="inlineStr">
        <is>
          <t>LUND</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45725-2022</t>
        </is>
      </c>
      <c r="B27" t="inlineStr">
        <is>
          <t>avverkningsanmälan</t>
        </is>
      </c>
      <c r="C27" t="inlineStr">
        <is>
          <t>Föryngringsavverkning</t>
        </is>
      </c>
      <c r="D27" s="1" t="n">
        <v>44846</v>
      </c>
      <c r="E27" s="1" t="n">
        <v>46314</v>
      </c>
      <c r="F27" t="inlineStr">
        <is>
          <t>SKÅNE LÄN</t>
        </is>
      </c>
      <c r="G27" t="inlineStr">
        <is>
          <t>LUND</t>
        </is>
      </c>
      <c r="I27" t="n">
        <v>1.2</v>
      </c>
      <c r="J27" t="n">
        <v>0</v>
      </c>
      <c r="K27" t="n">
        <v>0</v>
      </c>
      <c r="L27" t="n">
        <v>0</v>
      </c>
      <c r="M27" t="n">
        <v>0</v>
      </c>
      <c r="N27" t="n">
        <v>0</v>
      </c>
      <c r="O27" t="n">
        <v>0</v>
      </c>
      <c r="P27" t="n">
        <v>0</v>
      </c>
      <c r="Q27" t="n">
        <v>0</v>
      </c>
      <c r="R27" t="n">
        <v>0</v>
      </c>
      <c r="S27" t="n">
        <v>0</v>
      </c>
      <c r="T27" t="n">
        <v>0</v>
      </c>
      <c r="U27" t="n">
        <v>0</v>
      </c>
      <c r="V27" s="2" t="inlineStr"/>
    </row>
    <row r="28" ht="15" customHeight="1">
      <c r="A28" t="inlineStr">
        <is>
          <t>A 21767-2023</t>
        </is>
      </c>
      <c r="B28" t="inlineStr">
        <is>
          <t>avverkningsanmälan</t>
        </is>
      </c>
      <c r="C28" t="inlineStr">
        <is>
          <t>Föryngringsavverkning</t>
        </is>
      </c>
      <c r="D28" s="1" t="n">
        <v>45065</v>
      </c>
      <c r="E28" s="1" t="n">
        <v>46314</v>
      </c>
      <c r="F28" t="inlineStr">
        <is>
          <t>SKÅNE LÄN</t>
        </is>
      </c>
      <c r="G28" t="inlineStr">
        <is>
          <t>LUND</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46314</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46314</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17519-2023</t>
        </is>
      </c>
      <c r="B31" t="inlineStr">
        <is>
          <t>avverkningsanmälan</t>
        </is>
      </c>
      <c r="C31" t="inlineStr">
        <is>
          <t>Avverkning för annat ändamål</t>
        </is>
      </c>
      <c r="D31" s="1" t="n">
        <v>45036</v>
      </c>
      <c r="E31" s="1" t="n">
        <v>46314</v>
      </c>
      <c r="F31" t="inlineStr">
        <is>
          <t>SKÅNE LÄN</t>
        </is>
      </c>
      <c r="G31" t="inlineStr">
        <is>
          <t>LUND</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16499-2025</t>
        </is>
      </c>
      <c r="B32" t="inlineStr">
        <is>
          <t>avverkningsanmälan</t>
        </is>
      </c>
      <c r="C32" t="inlineStr">
        <is>
          <t>Föryngringsavverkning</t>
        </is>
      </c>
      <c r="D32" s="1" t="n">
        <v>45751</v>
      </c>
      <c r="E32" s="1" t="n">
        <v>46314</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9889-2026</t>
        </is>
      </c>
      <c r="B33" t="inlineStr">
        <is>
          <t>avverkningsanmälan</t>
        </is>
      </c>
      <c r="C33" t="inlineStr">
        <is>
          <t>Föryngringsavverkning</t>
        </is>
      </c>
      <c r="D33" s="1" t="n">
        <v>46073</v>
      </c>
      <c r="E33" s="1" t="n">
        <v>46314</v>
      </c>
      <c r="F33" t="inlineStr">
        <is>
          <t>SKÅNE LÄN</t>
        </is>
      </c>
      <c r="G33" t="inlineStr">
        <is>
          <t>LUND</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59918-2022</t>
        </is>
      </c>
      <c r="B34" t="inlineStr">
        <is>
          <t>avverkningsanmälan</t>
        </is>
      </c>
      <c r="C34" t="inlineStr">
        <is>
          <t>Föryngringsavverkning</t>
        </is>
      </c>
      <c r="D34" s="1" t="n">
        <v>44909</v>
      </c>
      <c r="E34" s="1" t="n">
        <v>46314</v>
      </c>
      <c r="F34" t="inlineStr">
        <is>
          <t>SKÅNE LÄN</t>
        </is>
      </c>
      <c r="G34" t="inlineStr">
        <is>
          <t>LUND</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46314</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30506-2026</t>
        </is>
      </c>
      <c r="B36" t="inlineStr">
        <is>
          <t>avverkningsanmälan</t>
        </is>
      </c>
      <c r="C36" t="inlineStr">
        <is>
          <t>Föryngringsavverkning</t>
        </is>
      </c>
      <c r="D36" s="1" t="n">
        <v>46210</v>
      </c>
      <c r="E36" s="1" t="n">
        <v>46314</v>
      </c>
      <c r="F36" t="inlineStr">
        <is>
          <t>SKÅNE LÄN</t>
        </is>
      </c>
      <c r="G36" t="inlineStr">
        <is>
          <t>LUND</t>
        </is>
      </c>
      <c r="H36" t="inlineStr">
        <is>
          <t>Kommuner</t>
        </is>
      </c>
      <c r="I36" t="n">
        <v>6.6</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46314</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46314</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46314</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33019-2026</t>
        </is>
      </c>
      <c r="B40" t="inlineStr">
        <is>
          <t>avverkningsanmälan</t>
        </is>
      </c>
      <c r="C40" t="inlineStr">
        <is>
          <t>Föryngringsavverkning</t>
        </is>
      </c>
      <c r="D40" s="1" t="n">
        <v>46244</v>
      </c>
      <c r="E40" s="1" t="n">
        <v>46314</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46314</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46314</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46314</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2026-10-19T02:02:46Z</dcterms:created>
  <dcterms:modified xmlns:dcterms="http://purl.org/dc/terms/" xmlns:xsi="http://www.w3.org/2001/XMLSchema-instance" xsi:type="dcterms:W3CDTF">2026-10-19T02:02:46Z</dcterms:modified>
</cp:coreProperties>
</file>